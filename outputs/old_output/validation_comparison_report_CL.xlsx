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ebat\GT\Agentic_AI_for_validation\outputs\old_output\"/>
    </mc:Choice>
  </mc:AlternateContent>
  <xr:revisionPtr revIDLastSave="0" documentId="8_{51B4C5B5-C874-474B-911E-F0A7390D14F9}" xr6:coauthVersionLast="47" xr6:coauthVersionMax="47" xr10:uidLastSave="{00000000-0000-0000-0000-000000000000}"/>
  <bookViews>
    <workbookView xWindow="-108" yWindow="-108" windowWidth="23256" windowHeight="12456" xr2:uid="{50CEE6D6-EA56-44B2-8D9B-39387A2C1A2E}"/>
  </bookViews>
  <sheets>
    <sheet name="validation_comparison_report" sheetId="1" r:id="rId1"/>
  </sheets>
  <calcPr calcId="0"/>
</workbook>
</file>

<file path=xl/calcChain.xml><?xml version="1.0" encoding="utf-8"?>
<calcChain xmlns="http://schemas.openxmlformats.org/spreadsheetml/2006/main">
  <c r="M34" i="1" l="1"/>
  <c r="K34" i="1"/>
  <c r="L34" i="1"/>
  <c r="N34" i="1"/>
  <c r="O34" i="1"/>
  <c r="P34" i="1"/>
  <c r="Q34" i="1"/>
  <c r="R34" i="1"/>
  <c r="S34" i="1"/>
  <c r="T34" i="1"/>
  <c r="U34" i="1"/>
  <c r="V34" i="1"/>
</calcChain>
</file>

<file path=xl/sharedStrings.xml><?xml version="1.0" encoding="utf-8"?>
<sst xmlns="http://schemas.openxmlformats.org/spreadsheetml/2006/main" count="587" uniqueCount="332">
  <si>
    <t>#</t>
  </si>
  <si>
    <t>Tier (1/2/3)</t>
  </si>
  <si>
    <t>Scope</t>
  </si>
  <si>
    <t>Control Reference</t>
  </si>
  <si>
    <t>Design Effectiveness Assessment</t>
  </si>
  <si>
    <t xml:space="preserve">Test Procedures </t>
  </si>
  <si>
    <t>AI_Answer</t>
  </si>
  <si>
    <t>Evidence_Sources</t>
  </si>
  <si>
    <t>Verification_Step</t>
  </si>
  <si>
    <t>Compliance_Verdict</t>
  </si>
  <si>
    <t>Validation_Score</t>
  </si>
  <si>
    <t>Validation_Reasoning</t>
  </si>
  <si>
    <t>Hallucination_Rate</t>
  </si>
  <si>
    <t>Confidence_Score</t>
  </si>
  <si>
    <t>Cross_LLM_Hallucinated</t>
  </si>
  <si>
    <t>Cross_LLM_Concerns</t>
  </si>
  <si>
    <t>Answers based on Clients data</t>
  </si>
  <si>
    <t>Cross_Encoder_Score</t>
  </si>
  <si>
    <t>Validation_Score_LLM_as_judge</t>
  </si>
  <si>
    <t>Stability_Score</t>
  </si>
  <si>
    <t>Drift_Resistance_Score</t>
  </si>
  <si>
    <t>Guardrail_Effectiveness_Score</t>
  </si>
  <si>
    <t>Reasoning_LLM_as_judge</t>
  </si>
  <si>
    <t>Expert_Answer_EN</t>
  </si>
  <si>
    <t>Model Governance and Oversight</t>
  </si>
  <si>
    <t>1.1</t>
  </si>
  <si>
    <t>Is there a formal policy for the calculation of Expected Credit Loss / IFRS 9 approved by Senior Management or the governing body?</t>
  </si>
  <si>
    <t>Test 1.1: Obtain the IFRS 9 Policy. Verify the approval date and signature. Confirm it was approved by the Board or ALCO.</t>
  </si>
  <si>
    <t>[CLASSIFICATION: DOCUMENTATION_CHECK]  
Yes, there is a formal policy for the calculation of Expected Credit Loss (ECL) under IFRS 9 that has been approved by Senior Management or the governing body. The "Política de Previsionamiento" outlines the responsibilities of the Gerencia de Riesgo y Cumplimiento and the Gerencia de Riesgo Crediticio in developing and approving the model for estimating the impairment of financial assets, which is in accordance with IFRS 9. Specifically, it states that the model and its parameters must be elevated to the Board for approval, confirming the governance structure for the policy's approval [Page 2, Page 3 of 'Política de Previsionamiento_modificada sep 2025.pdf'].
The document also indicates that the model must be reviewed at least annually or whenever significant changes occur, ensuring that the policy is not only documented but also actively maintained and governed [Page 2 of 'Política de Previsionamiento_modificada sep 2025.pdf'].
&lt;evidence_sources&gt;  
Page 2, Page 3 of 'Política de Previsionamiento_modificada sep 2025.pdf'  
&lt;/evidence_sources&gt;</t>
  </si>
  <si>
    <t>Page 2, Page 3 of 'Política de Previsionamiento_modificada sep 2025.pdf'</t>
  </si>
  <si>
    <t>Compliant</t>
  </si>
  <si>
    <t>The AI answer accurately reflects the presence of a formal policy for the calculation of Expected Credit Loss (ECL) under IFRS 9, as documented in the context. It correctly cites the responsibilities of the relevant management teams and confirms that the model must be approved by the Board, as stated on Page 2 and Page 3 of the 'Política de Previsionamiento_modificada sep 2025.pdf'. The answer is comprehensive and uses appropriate banking terminology, fully addressing the audit query.</t>
  </si>
  <si>
    <t>0.0000</t>
  </si>
  <si>
    <t>False</t>
  </si>
  <si>
    <t>SÃ­. Existe una polÃ­tica formal llamada "PolÃ­tica de Previsionamiento" (modificada sep 2025). El documento establece explÃ­citamente que el Directorio es el responsable de aprobar el modelo de estimaciÃ³n de deterioro y los parÃ¡metros utilizados.</t>
  </si>
  <si>
    <t>The AI answer accurately captures the essence of the Ground Truth, with minor deviations in terminology and emphasis. The reasoning is robust and logically stable, with clear references to the underlying document. The AI stays grounded in the context, avoiding external information and maintaining a professional tone.</t>
  </si>
  <si>
    <t>Yes. There is a formal policy called "Forecasting Policy" (modified Sep 2025). The document explicitly establishes that the Board of Directors is responsible for approving the impairment estimation model and the parameters used.</t>
  </si>
  <si>
    <t>1.2</t>
  </si>
  <si>
    <t>Are the IFRS 9 policy and procedures aligned with the requirements of the applicable standard and local regulation?</t>
  </si>
  <si>
    <t>Test 1.2: Review Policy 'Scope' and 'Definitions'. Confirm explicit references to IFRS 9 para 5.5 and relevant local circulars.</t>
  </si>
  <si>
    <t>[CLASSIFICATION: DOCUMENTATION_CHECK]  
No, the context does not provide sufficient evidence that the IFRS 9 policy and procedures are fully aligned with the requirements of the applicable standard and local regulation. While there are references to the existence of a policy for estimating expected credit losses (ECL) and the involvement of management in developing the model, there is no explicit documentation confirming that the policy has been approved by the Board or that it comprehensively addresses all aspects of IFRS 9. Specifically, the context mentions the need for periodic reviews and improvements but lacks details on the approval process or the specific governance structure in place to ensure compliance with IFRS 9 requirements. Additionally, the mention of ongoing validation processes and the commitment to send updated documentation does not confirm that the current policy is compliant with IFRS 9 as of now.  
&lt;evidence_sources&gt;  
Page 2, Page 3 of 'Política de Previsionamiento_modificada sep 2025.pdf'; Page 14, Page 30 of 'Guidelines on Accounting for ECL (EBA-GL-2017-06)_EN.pdf'; Page 4 of 'Respuesta Memorando final Inspección 2025_Perdida Esperada NIIF.pdf'  
&lt;/evidence_sources&gt;</t>
  </si>
  <si>
    <t>Page 2, Page 3 of 'Política de Previsionamiento_modificada sep 2025.pdf'; Page 14, Page 30 of 'Guidelines on Accounting for ECL (EBA-GL-2017-06)_EN.pdf'; Page 4 of 'Respuesta Memorando final Inspección 2025_Perdida Esperada NIIF.pdf'</t>
  </si>
  <si>
    <t>Non-Compliant</t>
  </si>
  <si>
    <t>The AI answer correctly identifies that there is insufficient evidence of full alignment with IFRS 9 requirements. However, it could have been more thorough by explicitly referencing the approval process and governance structure mentioned in the context, particularly on Page 2 of 'Política de Previsionamiento_modificada sep 2025.pdf', which states that the model must be approved by the Board. The answer lacks specific details about the approval process, which is crucial for a complete assessment.</t>
  </si>
  <si>
    <t>True</t>
  </si>
  <si>
    <t>the policy has been approved by the Board; the specific governance structure in place to ensure compliance with IFRS 9 requirements; the commitment to send updated documentation</t>
  </si>
  <si>
    <t xml:space="preserve">Parcial. La polÃ­tica define explÃ­citamente en su "IntroducciÃ³n" y "Alcance" que su propÃ³sito es estar acorde con lo establecido por el Punto 5.5 de NIIF 9. Asimismo, menciona normativas locales aplicables como la ComunicaciÃ³n "A" 6847 para exclusiones del Sector PÃºblico. Adicionalmente, el Banco estÃ¡ actualizando sus procedimientos para alinearse con el punto B5.5.17 (incremento significativo de riesgo) tras la inspecciÃ³n. Sin embargo, No se han relizado validaciones independientes del para estimar ECL </t>
  </si>
  <si>
    <t>The AI answer accurately captures the essence of the Ground Truth, but with some minor deviations. It demonstrates robust and consistent reasoning, stays grounded in the context, and maintains a professional tone. However, it introduces some external information and lacks explicit confirmation of the policy's approval and governance structure, resulting in a slight deduction in accuracy and stability scores.</t>
  </si>
  <si>
    <t>Partial. The policy explicitly defines in its "Introduction" and "Scope" that its purpose is to be in accordance with the provisions of Point 5.5 of IFRS 9. Likewise, it mentions applicable local regulations such as Communication "A" 6847 for Public Sector exclusions. Additionally, the Bank is updating its procedures to align with point B5.5.17 (significant increase in risk) following the inspection. However, no independent validations have been performed to estimate ECL.</t>
  </si>
  <si>
    <t>1.3</t>
  </si>
  <si>
    <t>Are there formal controls and procedures to ensure that IFRS 9 methodologies are applied consistently and traceably?</t>
  </si>
  <si>
    <t>Test 1.3: Review the Methodological Manual. Verify detailed chapters exist for every risk parameter (PD, LGD, EAD, FLI).</t>
  </si>
  <si>
    <t>[CLASSIFICATION: DOCUMENTATION_CHECK]  
Yes, there are formal controls and procedures documented to ensure that IFRS 9 methodologies are applied consistently and traceably. The context indicates that the Board is responsible for approving the model for estimating credit losses, which aligns with the requirements of IFRS 9, specifically Point 5.5. The policy document states that the Board must approve the model and parameters used for estimating expected credit losses (ECL), ensuring a structured governance framework is in place for the application of IFRS 9 methodologies [Page 1, Page 2 of 'Política de Previsionamiento_modificada sep 2025.pdf']. Additionally, the responsibilities of the Risk and Compliance Management and Credit Risk Management are outlined, indicating their roles in developing and reviewing the model annually or when significant changes occur [Page 2 of 'Política de Previsionamiento_modificada sep 2025.pdf']. This governance structure confirms that there are formal controls in place to ensure consistency and traceability in the application of IFRS 9 methodologies.
&lt;evidence_sources&gt;  
Page 1, Page 2 of 'Política de Previsionamiento_modificada sep 2025.pdf'  
&lt;/evidence_sources&gt;</t>
  </si>
  <si>
    <t>Page 1, Page 2 of 'Política de Previsionamiento_modificada sep 2025.pdf'</t>
  </si>
  <si>
    <t>The AI Generated Answer accurately reflects the context provided, citing specific responsibilities of the Board and management in relation to IFRS 9 methodologies. It correctly references the relevant pages of the policy document, ensuring that all assertions are backed by appropriate citations. The answer is comprehensive and addresses the audit query thoroughly.</t>
  </si>
  <si>
    <t>SÃ­. La PolÃ­tica de Previsionamiento contiene capÃ­tulos metodolÃ³gicos detallados para cada parÃ¡metro de riesgo requerido: PÃ©rdida Crediticia Esperada (SecciÃ³n 4.5), PD (SecciÃ³n 4.6), LGD (SecciÃ³n 4.7), EAD (SecciÃ³n 4.8) y PD Forward Looking (SecciÃ³n 4.10).</t>
  </si>
  <si>
    <t>Error: Error code: 429 - {'error': {'message': 'Rate limit reached for model `llama-3.3-70b-versatile` in organization `org_01kk1cdr8dfm7afwkjgwspes46` service tier `on_demand` on tokens per day (TPD): Limit 100000, Used 99979, Requested 591. Please try again in 8m12.48s. Need more tokens? Upgrade to Dev Tier today at https://console.groq.com/settings/billing', 'type': 'tokens', 'code': 'rate_limit_exceeded'}}</t>
  </si>
  <si>
    <t>Yes. The Forecasting Policy contains detailed methodological chapters for each required risk parameter: Expected Credit Loss (Section 4.5), PD (Section 4.6), LGD (Section 4.7), EAD (Section 4.8) and PD Forward Looking (Section 4.10).</t>
  </si>
  <si>
    <t>1.5</t>
  </si>
  <si>
    <t>Are the roles and responsibilities of the IFRS 9 process (development, validation, business, reporting, etc.) clearly defined and documented?</t>
  </si>
  <si>
    <t>Test 1.5: Review (if there is) 'Roles &amp; Responsibilities' section. Verify that the team developing the model is different from the team validating it.</t>
  </si>
  <si>
    <t>[CLASSIFICATION: DOCUMENTATION_CHECK]  
No, the roles and responsibilities of the IFRS 9 process (development, validation, business, reporting, etc.) are not clearly defined and documented in the provided context. While there are references to the involvement of various management roles, such as the Gerencia de Riesgo y Cumplimiento and Gerencia de Riesgo Crediticio in the development and approval of the model for estimating expected credit losses (ECL), there is no comprehensive documentation that explicitly outlines the roles and responsibilities across the entire IFRS 9 process. The context mentions the need for approval from the Directorio for the model and parameters but does not provide a clear structure or delineation of responsibilities for all aspects of the IFRS 9 process. Therefore, the specific action required by the audit test procedure is not satisfied.  
&lt;evidence_sources&gt;  
Page 2, Page 3 of 'Política de Previsionamiento_modificada sep 2025.pdf'  
Page 4 of 'Respuesta Memorando final Inspección 2025_Perdida Esperada NIIF.pdf'  
&lt;/evidence_sources&gt;</t>
  </si>
  <si>
    <t>Page 2, Page 3 of 'Política de Previsionamiento_modificada sep 2025.pdf'  
Page 4 of 'Respuesta Memorando final Inspección 2025_Perdida Esperada NIIF.pdf'</t>
  </si>
  <si>
    <t>The AI answer correctly identifies that the roles and responsibilities are not clearly defined and documented, but it lacks specific details about the roles mentioned in the context. While it references the Gerencia de Riesgo y Cumplimiento and Gerencia de Riesgo Crediticio, it does not provide a comprehensive overview of all roles involved in the IFRS 9 process as required. The answer could have been improved by explicitly citing the relevant pages where these roles are discussed (e.g., Page 2 of 'Política de Previsionamiento_modificada sep 2025.pdf').</t>
  </si>
  <si>
    <t>SÃ­. La polÃ­tica establece formalmente que la Gerencia de Riesgo y Cumplimiento (junto con Riesgo Crediticio) debe revisar el modelo "como mÃ­nimo anualmente" y/o cada vez que se produzcan hechos que puedan alterar la metodologÃ­a.</t>
  </si>
  <si>
    <t>Error: Error code: 429 - {'error': {'message': 'Rate limit reached for model `llama-3.3-70b-versatile` in organization `org_01kk1cdr8dfm7afwkjgwspes46` service tier `on_demand` on tokens per day (TPD): Limit 100000, Used 99958, Requested 534. Please try again in 7m5.087999999s. Need more tokens? Upgrade to Dev Tier today at https://console.groq.com/settings/billing', 'type': 'tokens', 'code': 'rate_limit_exceeded'}}</t>
  </si>
  <si>
    <t>Yes. The policy formally establishes that the Risk and Compliance Management (together with Credit Risk) must review the model "at least annually" and/or whenever events occur that may alter the methodology.</t>
  </si>
  <si>
    <t>Data Quality and Sources</t>
  </si>
  <si>
    <t>2.1</t>
  </si>
  <si>
    <t>Representativeness testing performed? Data used is relevant e.g., using MEVs that are relevant to the portfolio in hand?</t>
  </si>
  <si>
    <t>Test 2.1: Check the date range of training data. Does it include a downturn/crisis period?</t>
  </si>
  <si>
    <t>[CLASSIFICATION: METHODOLOGY_CHECK]  
Partially, the context indicates that the entity is developing a new methodology for estimating expected credit losses (ECL) that aligns with the point-in-time (PIT) approach required by IFRS 9. However, while a 36-month time window is mentioned, there is no explicit documentation provided that justifies the choice of this specific time frame or how it reflects current economic conditions. The context states that the methodology will be reviewed and tested, but it lacks detailed justification for the assumptions and parameters that will be used in the model, which is necessary for a comprehensive methodology check.
&lt;evidence_sources&gt;  
Page 7 of 'Respuesta Memorando final Inspección 2025_Perdida Esperada NIIF.pdf', Page 2 of 'Política de Previsionamiento_modificada sep 2025.pdf'  
&lt;/evidence_sources&gt;</t>
  </si>
  <si>
    <t>Page 7 of 'Respuesta Memorando final Inspección 2025_Perdida Esperada NIIF.pdf', Page 2 of 'Política de Previsionamiento_modificada sep 2025.pdf'</t>
  </si>
  <si>
    <t>Partial</t>
  </si>
  <si>
    <t>The AI answer is partially accurate but lacks thoroughness. It correctly identifies the development of a new methodology for estimating expected credit losses (ECL) and mentions the 36-month time window. However, it fails to provide specific details on how this time frame reflects current economic conditions or the justification for its choice, which is necessary for a comprehensive methodology check. The answer could have referenced specific pages more effectively to support its claims.</t>
  </si>
  <si>
    <t>The context lacks detailed justification for the assumptions and parameters that will be used in the model</t>
  </si>
  <si>
    <t>Parcialmente Documentado. La PolÃ­tica identifica rubros contables generales (ej. 130000 PrÃ©stamos) y aplicativos especÃ­ficos (ej. "aplicativo de PrÃ©stamos", "descuento de cheques"), asÃ­ como fuentes externas como Nosis y RIPTE/CER. No obstante, no se evidencia un diagrama de arquitectura de datos formal o un linaje detallado de sistemas en el texto provisto.</t>
  </si>
  <si>
    <t>Error: Error code: 429 - {'error': {'message': 'Rate limit reached for model `llama-3.3-70b-versatile` in organization `org_01kk1cdr8dfm7afwkjgwspes46` service tier `on_demand` on tokens per day (TPD): Limit 100000, Used 99938, Requested 523. Please try again in 6m38.304s. Need more tokens? Upgrade to Dev Tier today at https://console.groq.com/settings/billing', 'type': 'tokens', 'code': 'rate_limit_exceeded'}}</t>
  </si>
  <si>
    <t>Partially Documented. The Policy identifies general accounting items (e.g. 130000 Loans) and specific applications (e.g. "Loan application", "check discounting"), as well as external sources such as Nosis and RIPTE/CER. However, a formal data architecture diagram or detailed lineage of systems is not evident in the text provided.</t>
  </si>
  <si>
    <t>Segmentation</t>
  </si>
  <si>
    <t>3.1</t>
  </si>
  <si>
    <t>Does segmentation adequately distinguish between collective and individual treatment, where applicable?</t>
  </si>
  <si>
    <t>Test 3.1: Review the Segmentation Policy. Verify that clear, mutually exclusive criteria (whether quantitative thresholds, specific risk characteristics, or lack of historical data) are defined to assign exposures to either Individual or Collective assessment.</t>
  </si>
  <si>
    <t>[CLASSIFICATION: DOCUMENTATION_CHECK]  
Yes, the segmentation adequately distinguishes between collective and individual treatment as outlined in the provided context. The "Política de Previsionamiento" document specifies that the portfolio is classified into "Tratamiento Individual" and "Tratamiento Colectivo," with clear criteria for each category. For instance, it states that individual treatment is applied to operations that are new and unusual, lacking sufficient payment history for objective analysis, while collective treatment is defined for homogeneous groups of assets based on shared credit risk characteristics. This structured approach to segmentation aligns with the requirements of IFRS 9, ensuring that the methodology is well-documented and subject to appropriate review, as highlighted in the EBA guidelines [Page 4 of 'Política de Previsionamiento_modificada sep 2025.pdf'].
&lt;evidence_sources&gt;  
Page 4, Page 5 of 'Política de Previsionamiento_modificada sep 2025.pdf'  
&lt;/evidence_sources&gt;</t>
  </si>
  <si>
    <t>Page 4, Page 5 of 'Política de Previsionamiento_modificada sep 2025.pdf'</t>
  </si>
  <si>
    <t>The AI answer accurately reflects the context provided, correctly identifying the segmentation between 'Tratamiento Individual' and 'Tratamiento Colectivo' as per the 'Política de Previsionamiento'. It cites specific criteria for each treatment type and aligns with IFRS 9 requirements, supported by appropriate page citations from the document. No hallucinations or inaccuracies were found.</t>
  </si>
  <si>
    <t>The 'Política de Previsionamiento' document specifies that the portfolio is classified into 'Tratamiento Individual' and 'Tratamiento Colectivo,' with clear criteria for each category.; For instance, it states that individual treatment is applied to operations that are new and unusual, lacking sufficient payment history for objective analysis, while collective treatment is defined for homogeneous groups of assets based on shared credit risk characteristics.; This structured approach to segmentation aligns with the requirements of IFRS 9, ensuring that the methodology is well-documented and subject to appropriate review, as highlighted in the EBA guidelines [Page 4 of 'Política de Previsionamiento_modificada sep 2025.pdf']</t>
  </si>
  <si>
    <t>SÃ­. Los criterios estÃ¡n definidos: operaciones que no se liquidan en aplicativos estÃ¡ndar o casos especiales (ej. emergencia agropecuaria). Para estos casos, se utiliza un modelo de score especÃ­fico con 10 variables (ej. SituaciÃ³n en Sistema Financiero, Atraso, Apalancamiento).</t>
  </si>
  <si>
    <t>Error: Error code: 429 - {'error': {'message': 'Rate limit reached for model `llama-3.3-70b-versatile` in organization `org_01kk1cdr8dfm7afwkjgwspes46` service tier `on_demand` on tokens per day (TPD): Limit 100000, Used 99915, Requested 518. Please try again in 6m14.111999999s. Need more tokens? Upgrade to Dev Tier today at https://console.groq.com/settings/billing', 'type': 'tokens', 'code': 'rate_limit_exceeded'}}</t>
  </si>
  <si>
    <t>Yes. The criteria are defined: operations that are not settled in standard applications or special cases (e.g. agricultural emergency). For these cases, a specific scoring model with 10 variables is used (e.g. Situation in the Financial System, Delay, Leverage).</t>
  </si>
  <si>
    <t>3.2</t>
  </si>
  <si>
    <t>Is there a defined process (quantitative and/or qualitative) to determine and review segmentation (homogeneity/heterogeneity, concentration, stability, etc.)?</t>
  </si>
  <si>
    <t>Test 3.2: Request the last "Segmentation Review" report. Did they check if segments are still distinct?</t>
  </si>
  <si>
    <t>[CLASSIFICATION: DOCUMENTATION_CHECK]  
Yes, there is a defined process to determine and review segmentation. The context states that the "Gerencia de Riesgo y Cumplimiento" participates in the development of the model for estimating credit impairment, which must align with IFRS 9 requirements. This includes reviewing the model at least annually or whenever significant events occur that could alter the methodology. Additionally, the document outlines that the classification of financial assets into different stages (Stage 1, Stage 2, and Stage 3) is updated monthly based on the condition of arrears, indicating a systematic approach to segmentation and review of credit risk. This governance structure confirms the existence of a defined process for segmentation assessment. 
&lt;evidence_sources&gt;  
Page 2, Page 3 of 'Política de Previsionamiento_modificada sep 2025.pdf'  
Page 39 of 'Guidelines on Accounting for ECL (EBA-GL-2017-06)_EN.pdf'  
&lt;/evidence_sources&gt;</t>
  </si>
  <si>
    <t>Page 2, Page 3 of 'Política de Previsionamiento_modificada sep 2025.pdf'  
Page 39 of 'Guidelines on Accounting for ECL (EBA-GL-2017-06)_EN.pdf'</t>
  </si>
  <si>
    <t>The AI Generated Answer accurately reflects the defined process for determining and reviewing segmentation as outlined in the context. It correctly cites the involvement of the 'Gerencia de Riesgo y Cumplimiento' and the annual review process, as well as the monthly updates on asset classification. All assertions are supported by appropriate page citations from the provided documents.</t>
  </si>
  <si>
    <t>the classification of financial assets into different stages (Stage 1, Stage 2, and Stage 3) is updated monthly based on the condition of arrears</t>
  </si>
  <si>
    <t>No. La polÃ­tica define reglas de mapeo especÃ­ficas basadas en "Tipos de OperaciÃ³n" (ej. Banca Empresa = Tipos 3, 6, 8). Existe un control explÃ­cito para asegurar que, tras el filtrado, no queden operaciones sin segmento asignado. Sin embargo no existen reglas claras de analisis/procesos cuantitativo de la segmentacion ni de su estabilidad en el tiempo.</t>
  </si>
  <si>
    <t>Error: Error code: 429 - {'error': {'message': 'Rate limit reached for model `llama-3.3-70b-versatile` in organization `org_01kk1cdr8dfm7afwkjgwspes46` service tier `on_demand` on tokens per day (TPD): Limit 100000, Used 99894, Requested 548. Please try again in 6m21.888s. Need more tokens? Upgrade to Dev Tier today at https://console.groq.com/settings/billing', 'type': 'tokens', 'code': 'rate_limit_exceeded'}}</t>
  </si>
  <si>
    <t>No. The policy defines specific mapping rules based on "Operation Types" (e.g. Business Banking = Types 3, 6, 8). There is an explicit control to ensure that, after filtering, there are no operations without an assigned segment. However, there are no clear rules for quantitative analysis/processes of segmentation or its stability over time.</t>
  </si>
  <si>
    <t>3.6</t>
  </si>
  <si>
    <t>Is the segmentation quantitativelly backed  ?</t>
  </si>
  <si>
    <t>Test 3.6: Request the last "Segmentation Review" report. Did they check if segments are still distinct?</t>
  </si>
  <si>
    <t>[CLASSIFICATION: METHODOLOGY_CHECK]  
No, the context does not provide sufficient evidence that the segmentation is quantitatively backed. While it mentions that institutions use quantitative indicators to assess SICR, it does not specify the quantitative thresholds or the empirical data supporting the segmentation methodology. The context states that institutions should have sound governance and controls to validate their methodological approach, but it lacks specific details on how the segmentation is quantitatively supported or documented. Therefore, the requirement for a robust quantitative backing for segmentation is not met.  
&lt;evidence_sources&gt;  
Page 25, Page 39 of 'Guidelines on Accounting for ECL (EBA-GL-2017-06)_EN.pdf'  
Page 3 of 'Política de Previsionamiento_modificada sep 2025.pdf'  
&lt;/evidence_sources&gt;</t>
  </si>
  <si>
    <t>Page 25, Page 39 of 'Guidelines on Accounting for ECL (EBA-GL-2017-06)_EN.pdf'  
Page 3 of 'Política de Previsionamiento_modificada sep 2025.pdf'</t>
  </si>
  <si>
    <t>The AI answer correctly identifies that the context does not provide specific quantitative thresholds or empirical data to support the segmentation methodology. However, it could have referenced specific quantitative indicators mentioned in the context, such as the transition rates from Stage 1 to Stage 3 (Page 25) and the mention of quantitative thresholds related to the assessment of SICR (Page 21). The answer is somewhat vague and lacks specific details, which is why it does not score a perfect 10.</t>
  </si>
  <si>
    <t>No. La segmentaciÃ³n no estÃ¡ respaldada cuantitativamente. No se han ejecutado tests cuantitativos (homogeneidad, heterogeneidad, PSI, concentraciÃ³n) para asegurar que la segmentaciÃ³n es adecuada</t>
  </si>
  <si>
    <t>Error: Error code: 429 - {'error': {'message': 'Rate limit reached for model `llama-3.3-70b-versatile` in organization `org_01kk1cdr8dfm7afwkjgwspes46` service tier `on_demand` on tokens per day (TPD): Limit 100000, Used 99873, Requested 460. Please try again in 4m47.712s. Need more tokens? Upgrade to Dev Tier today at https://console.groq.com/settings/billing', 'type': 'tokens', 'code': 'rate_limit_exceeded'}}</t>
  </si>
  <si>
    <t>No. Segmentation is not quantitatively supported. Quantitative tests (homogeneity, heterogeneity, PSI, concentration) have not been run to ensure that segmentation is adequate</t>
  </si>
  <si>
    <t>Definition of Default</t>
  </si>
  <si>
    <t>4.1</t>
  </si>
  <si>
    <t>Is the definition of default documented and consistent with the reference regulation (e.g., more than 90 days past due, unlikeliness-to-pay criteria, etc.)?</t>
  </si>
  <si>
    <t>Test 4.1: Verify Policy text explicitly mentions "90 days" and lists UTP triggers (bankruptcy, restructuring).</t>
  </si>
  <si>
    <t>[CLASSIFICATION: DOCUMENTATION_CHECK]  
Yes, the definition of default is documented and consistent with the reference regulation. The context specifies that a classification of default occurs when an operation registers an atraso (delay) superior a 90 días (more than 90 days past due), which aligns with the unlikeliness-to-pay criteria established in IFRS 9. Additionally, the document outlines that clients classified as Stage 2 are those with a classification of 3 or 4 in the financial system, indicating a significant increase in credit risk, which further supports the definition of default. This is documented in the "Política de Previsionamiento_modificada sep 2025" on Page 6 and Page 5. 
[evidence_sources]  
Page 5, Page 6 of 'Política de Previsionamiento_modificada sep 2025.pdf'  
Page 2 of 'Respuesta Memorando final Inspección 2025_Perdida Esperada NIIF.pdf'</t>
  </si>
  <si>
    <t>None</t>
  </si>
  <si>
    <t>The AI's answer accurately reflects the definition of default as documented in the context, specifically citing the criteria of being more than 90 days past due and the classification of clients in Stage 2. All assertions are supported by correct page citations from the provided documents.</t>
  </si>
  <si>
    <t>The context specifies that a classification of default occurs when an operation registers an atraso (delay) superior a 90 días (more than 90 days past due); clients classified as Stage 2 are those with a classification of 3 or 4 in the financial system; This is documented in the 'Política de Previsionamiento_modificada sep 2025' on Page 6 and Page 5</t>
  </si>
  <si>
    <t>Parcial.  La respuesta a la inspecciÃ³n confirma que la metodologÃ­a de "contagio de stage" entre operaciones del mismo cliente "Ya se encuentra operativa en la metodologÃ­a actual".No existen criterios UTP para entradas en stage 3 ni umbral de materialidad de acuerdo con la nueva DoD</t>
  </si>
  <si>
    <t>Error: Error code: 429 - {'error': {'message': 'Rate limit reached for model `llama-3.3-70b-versatile` in organization `org_01kk1cdr8dfm7afwkjgwspes46` service tier `on_demand` on tokens per day (TPD): Limit 100000, Used 99852, Requested 511. Please try again in 5m13.632s. Need more tokens? Upgrade to Dev Tier today at https://console.groq.com/settings/billing', 'type': 'tokens', 'code': 'rate_limit_exceeded'}}</t>
  </si>
  <si>
    <t>Partial.  The response to the inspection confirms that the "stage contagion" methodology between operations of the same client "is already operational in the current methodology." There are no UTP criteria for stage 3 entries or materiality threshold in accordance with the new DoD</t>
  </si>
  <si>
    <t>4.2</t>
  </si>
  <si>
    <t>Is the default definition applied consistently across staging, PD, LGD, and other model components?</t>
  </si>
  <si>
    <t>Test 4.2: Compare the Default definition in the IFRS 9 Manual vs. the Basel/Capital Manual. They should match.</t>
  </si>
  <si>
    <t>[CLASSIFICATION: METHODOLOGY_CHECK]  
Partially, the default definition is applied consistently across staging, PD, LGD, and other model components, but there are notable limitations. The context indicates that the classification of debtors into Stage 2 is primarily based on a rebuttable presumption of 30 days past due, which does not fully align with IFRS 9 requirements that necessitate additional qualitative and quantitative factors to determine a significant increase in credit risk (SICR) [Page 6 of 'Política de Previsionamiento_modificada sep 2025.pdf']. Furthermore, while the methodology for estimating Probability of Default (PD) is stated to be based on cases rather than amounts, which is a positive aspect, the context does not provide sufficient evidence that the definition of default is consistently applied across all components, particularly in relation to the treatment of guarantees in LGD calculations, which are excluded due to their low relevance [Page 2 of 'Respuesta Memorando final Inspección 2025_Perdida Esperada NIIF.pdf']. This inconsistency raises concerns about the robustness of the model and its alignment with IFRS 9 principles.
&lt;evidence_sources&gt;  
Page 6, Page 2 of 'Política de Previsionamiento_modificada sep 2025.pdf'; Page 2 of 'Respuesta Memorando final Inspección 2025_Perdida Esperada NIIF.pdf'  
&lt;/evidence_sources&gt;</t>
  </si>
  <si>
    <t>Page 6, Page 2 of 'Política de Previsionamiento_modificada sep 2025.pdf'; Page 2 of 'Respuesta Memorando final Inspección 2025_Perdida Esperada NIIF.pdf'</t>
  </si>
  <si>
    <t>The AI answer is mostly accurate and references relevant pages, but it lacks some specific details regarding the consistent application of the default definition across all model components. It mentions limitations but does not provide a comprehensive overview of how the definition is applied in all components, particularly in relation to the treatment of guarantees in LGD calculations. A more thorough explanation of the application across all components would improve the score.</t>
  </si>
  <si>
    <t>The context indicates that the classification of debtors into Stage 2 is primarily based on a rebuttable presumption of 30 days past due; the treatment of guarantees in LGD calculations, which are excluded due to their low relevance</t>
  </si>
  <si>
    <t>No, si bien existen cambios en curso. La SecciÃ³n 4.6 documenta la metodologÃ­a actual (curvas de frecuencia histÃ³rica promediadas). Sin embargo, el BCRA observÃ³ que el cÃ¡lculo se basaba en montos en lugar de casos. El Banco se comprometiÃ³ a cambiar la metodologÃ­a para usar cantidad de casos (exposiciones individuales).</t>
  </si>
  <si>
    <t>Error: Error code: 429 - {'error': {'message': 'Rate limit reached for model `llama-3.3-70b-versatile` in organization `org_01kk1cdr8dfm7afwkjgwspes46` service tier `on_demand` on tokens per day (TPD): Limit 100000, Used 99830, Requested 621. Please try again in 6m29.664s. Need more tokens? Upgrade to Dev Tier today at https://console.groq.com/settings/billing', 'type': 'tokens', 'code': 'rate_limit_exceeded'}}</t>
  </si>
  <si>
    <t>No, although there are changes underway. Section 4.6 documents the current methodology (historically averaged frequency curves). However, the BCRA noted that the calculation was based on amounts rather than cases. The Bank committed to changing the methodology to use case numbers (individual exposures).</t>
  </si>
  <si>
    <t>Risk Contagion</t>
  </si>
  <si>
    <t>5.1</t>
  </si>
  <si>
    <t>Is there a formal policy or criterion for risk contagion among exposures of the same client or economic group?</t>
  </si>
  <si>
    <t>Test 5.1: Review Policy. Look for the "Pulling Effect" rule (e.g., if 20% of exposure is default, all is default).</t>
  </si>
  <si>
    <t>[CLASSIFICATION: DOCUMENTATION_CHECK]  
Yes, there is a formal policy for risk contagion among exposures of the same client or economic group. The context explicitly states that the methodology of "contagio de stage" allows for the classification of a client's operations into a higher stage if one operation is classified in Stage 2 or Stage 3, even if the other operations do not meet the individual criteria for transfer. This approach is documented in the policy and is operational as per the provided context, indicating that it is a formalized criterion for assessing risk contagion among exposures. The policy also outlines that this methodology is already in use, which confirms its existence and application. 
&lt;evidence_sources&gt;  
Page 3, Page 5 of 'Política de Previsionamiento_modificada sep 2025.pdf'  
&lt;/evidence_sources&gt;</t>
  </si>
  <si>
    <t>Page 3, Page 5 of 'Política de Previsionamiento_modificada sep 2025.pdf'</t>
  </si>
  <si>
    <t>The AI answer accurately identifies the existence of a formal policy for risk contagion among exposures of the same client or economic group, referencing the methodology of 'contagio de stage' as documented in the context. It correctly cites the relevant pages from the provided documents, ensuring thoroughness and truthfulness in its assertions.</t>
  </si>
  <si>
    <t>The context explicitly states that the methodology of 'contagio de stage' allows for the classification of a client's operations into a higher stage if one operation is classified in Stage 2 or Stage 3; The policy also outlines that this methodology is already in use</t>
  </si>
  <si>
    <t>AjustÃ¡ndose a PiT. El BCRA seÃ±alÃ³ que la ventana histÃ³rica de 8 aÃ±os era excesiva para el enfoque Point-in-Time (PiT) requerido para Stage 1. El Banco estÃ¡ implementando una nueva ventana de 36 meses para reflejar mejor las condiciones econÃ³micas actuales. El componente Forward Looking ya utiliza un modelo SARIMAX sensible a variables exÃ³genas (RIPTE).</t>
  </si>
  <si>
    <t>Error: Error code: 429 - {'error': {'message': 'Rate limit reached for model `llama-3.3-70b-versatile` in organization `org_01kk1cdr8dfm7afwkjgwspes46` service tier `on_demand` on tokens per day (TPD): Limit 100000, Used 99808, Requested 508. Please try again in 4m33.024s. Need more tokens? Upgrade to Dev Tier today at https://console.groq.com/settings/billing', 'type': 'tokens', 'code': 'rate_limit_exceeded'}}</t>
  </si>
  <si>
    <t>Adjusting to PiT. The BCRA noted that the 8-year historical window was excessive for the Point-in-Time (PiT) approach required for Stage 1. The Bank is implementing a new 36-month window to better reflect current economic conditions. The Forward Looking component already uses a SARIMAX model sensitive to exogenous variables (RIPTE).</t>
  </si>
  <si>
    <t>5.3</t>
  </si>
  <si>
    <t>Are there controls or periodic reviews to verify that stage contagion is correctly applied in practice?</t>
  </si>
  <si>
    <t>Test 5.3: Identify a client with one defaulted loan. Check if their other performing loans are flagged as Stage 3.</t>
  </si>
  <si>
    <t>[CLASSIFICATION: DOCUMENTATION_CHECK]  
Yes, there are controls and periodic reviews to verify that stage contagion is correctly applied in practice. The context states that the "Gerencia de Riesgo y Cumplimiento" is responsible for participating in the development of the model for estimating credit losses, which includes reviewing the methodology at least annually or whenever significant events occur that may alter the adopted methodology [Page 3 of 'Política de Previsionamiento_modificada sep 2025.pdf']. Additionally, the context mentions that the model and its parameters must be approved by the Board, indicating a governance structure that supports periodic review and oversight [Page 2 of 'Política de Previsionamiento_modificada sep 2025.pdf']. 
Furthermore, the document outlines a methodology for "contagio de stage," which allows for the classification of other operations of the same client based on the stage of one operation, thus demonstrating an operational application of the controls in practice [Page 4 of 'Respuesta Memorando final Inspección 2025_Perdida Esperada NIIF.pdf'].
&lt;evidence_sources&gt;  
Page 2, Page 3 of 'Política de Previsionamiento_modificada sep 2025.pdf'; Page 4 of 'Respuesta Memorando final Inspección 2025_Perdida Esperada NIIF.pdf'  
&lt;/evidence_sources&gt;</t>
  </si>
  <si>
    <t>Page 2, Page 3 of 'Política de Previsionamiento_modificada sep 2025.pdf'; Page 4 of 'Respuesta Memorando final Inspección 2025_Perdida Esperada NIIF.pdf'</t>
  </si>
  <si>
    <t>The AI answer accurately reflects the context provided, citing specific pages and details regarding the controls and periodic reviews for stage contagion. It correctly identifies the responsibilities of the 'Gerencia de Riesgo y Cumplimiento' and the governance structure in place, as well as the methodology for 'contagio de stage'. All assertions are well-supported by the context, leading to a perfect score.</t>
  </si>
  <si>
    <t>the document outlines a methodology for 'contagio de stage,' which allows for the classification of other operations of the same client based on the stage of one operation</t>
  </si>
  <si>
    <t>SÃ­. La metodologÃ­a se encuentra documentada y justificada. Para construir la cola de la curva en los casos donde faltan datos histÃ³ricos recientes (triÃ¡ngulos de observaciones faltantes), el Banco utiliza explÃ­citamente la tÃ©cnica Chain Ladder (development methodology) para estimar y proyectar los valores hasta el mes 60. No obstante, el umbral del 30% utilizado en el criterio de contagio entre operaciones del mismo cliente no estÃ¡ sustentado por anÃ¡lisis cuantitativos. Asimismo, si bien el modelo contempla la existencia de contagio entre operaciones del mismo cliente, no se dispone de controles periÃ³dicos ni evidencia documental que demuestre que dicha regla se aplica de manera consistente en la prÃ¡ctica. No existen reportes que verifiquen si todas las operaciones relacionadas se reclasifican adecuadamente cuando una entra en incumplimiento, ni pruebas de revisiÃ³n manual o automatizada que permitan detectar inconsistencias.</t>
  </si>
  <si>
    <t>Error: Error code: 429 - {'error': {'message': 'Rate limit reached for model `llama-3.3-70b-versatile` in organization `org_01kk1cdr8dfm7afwkjgwspes46` service tier `on_demand` on tokens per day (TPD): Limit 100000, Used 99787, Requested 763. Please try again in 7m55.2s. Need more tokens? Upgrade to Dev Tier today at https://console.groq.com/settings/billing', 'type': 'tokens', 'code': 'rate_limit_exceeded'}}</t>
  </si>
  <si>
    <t>Yes. The methodology is documented and justified. To construct the tail of the curve in cases where recent historical data is missing (missing observation triangles), the Bank explicitly uses the Chain Ladder technique (development methodology) to estimate and project the values ​​up to month 60. However, the 30% threshold used in the contagion criterion between operations of the same client is not supported by quantitative analyses. Likewise, although the model contemplates the existence of contagion between operations of the same client, there are no periodic controls or documentary evidence to demonstrate that said rule is applied consistently in practice. There are no reports that verify whether all related operations are appropriately reclassified when one becomes non-compliant, nor manual or automated review tests that allow inconsistencies to be detected.</t>
  </si>
  <si>
    <t>PD</t>
  </si>
  <si>
    <t>6.1</t>
  </si>
  <si>
    <t>Is the PD estimation methodology clearly documented (data sources, horizon, statistical technique, target population, assumptions)?</t>
  </si>
  <si>
    <t>Test 6.1: Verify the document explains how the PD is calculated step-by-step (Formulas, Variables).</t>
  </si>
  <si>
    <t>[CLASSIFICATION: DOCUMENTATION_CHECK]  
No, the PD estimation methodology is not clearly documented in the provided context. While there are references to a change in methodology and the commitment to send a Manual of Procedures by October 31, 2025, there is no explicit documentation detailing the data sources, statistical techniques, target population, or assumptions used in the PD estimation methodology. The context mentions that the current methodology is based on amounts rather than cases and that adjustments are being made, but it lacks comprehensive documentation of the methodology itself. Therefore, it does not satisfy the requirement for clear documentation as specified in the audit test procedure. 
&lt;evidence_sources&gt;  
Page 9, Page 8 of 'Respuesta Memorando final Inspección 2025_Perdida Esperada NIIF.pdf'  
Page 17 of 'Política de Previsionamiento_modificada sep 2025.pdf'  
&lt;/evidence_sources&gt;</t>
  </si>
  <si>
    <t>Page 9, Page 8 of 'Respuesta Memorando final Inspección 2025_Perdida Esperada NIIF.pdf'  
Page 17 of 'Política de Previsionamiento_modificada sep 2025.pdf'</t>
  </si>
  <si>
    <t>The AI answer correctly identifies that the PD estimation methodology is not clearly documented, but it lacks specific details about the data sources, statistical techniques, target population, and assumptions as required by the audit query. While it references the commitment to send a Manual of Procedures by October 31, 2025, it does not provide a comprehensive overview of the current methodology or the adjustments being made, which are mentioned in the context. The answer could have been more thorough by citing specific details from the context, such as the segments with a PD of 0% and the recommendation to adjust the methodology (Page 9).</t>
  </si>
  <si>
    <t>Parcial. La metodologÃ­a de PD presenta una explicaciÃ³n teÃ³rica y la polÃ­tica incluye resultados de validaciÃ³n estadÃ­stica para el modelo Forward Looking (SARIMAX), incluyendo indicadores como AIC, BIC, pruebas de Ljung-Box y significatividad de parÃ¡metros (p-values). Asimismo, para la nueva PD se contemplan pruebas de cÃ¡lculo en paralelo durante el perÃ­odo de transiciÃ³n. No obstante, la reducciÃ³n de la ventana histÃ³rica a 36 meses y la exclusiÃ³n de datos anteriores a 2021 se basan principalmente en inspecciÃ³n visual y juicio experto, sin anÃ¡lisis cuantitativos o de sensibilidad que respalden estas decisiones. Tampoco se detalla cuÃ¡ntas curvas histÃ³ricas se utilizan ni se presentan anÃ¡lisis que evalÃºen la representatividad histÃ³rica o la presencia de perÃ­odos atÃ­picos (como COVID), lo que limita la solidez y trazabilidad de la metodologÃ­a conforme a NIIF 9.a</t>
  </si>
  <si>
    <t>Error: Error code: 429 - {'error': {'message': 'Rate limit reached for model `llama-3.3-70b-versatile` in organization `org_01kk1cdr8dfm7afwkjgwspes46` service tier `on_demand` on tokens per day (TPD): Limit 100000, Used 99765, Requested 703. Please try again in 6m44.352s. Need more tokens? Upgrade to Dev Tier today at https://console.groq.com/settings/billing', 'type': 'tokens', 'code': 'rate_limit_exceeded'}}</t>
  </si>
  <si>
    <t>Partial. The PD methodology presents a theoretical explanation and the policy includes statistical validation results for the Forward Looking (SARIMAX) model, including indicators such as AIC, BIC, Ljung-Box tests and parameter significance (p-values). Likewise, for the new PD, parallel calculation tests are contemplated during the transition period. However, the reduction of the historical window to 36 months and the exclusion of data before 2021 are based primarily on visual inspection and expert judgment, without quantitative or sensitivity analyzes to support these decisions. It is also not detailed how many historical curves are used nor are analyzes presented that evaluate historical representativeness or the presence of atypical periods (such as COVID), which limits the robustness and traceability of the methodology in accordance with IFRS 9.a.</t>
  </si>
  <si>
    <t>6.2</t>
  </si>
  <si>
    <t>Is the PD model designed as Point-in-Time (PiT) or Through-the-Cycle (TTC), and is this choice justified against expected loss requirements?</t>
  </si>
  <si>
    <t>Test 6.2: Check if the PD fluctuates with the economic cycle (Variable Scalar or FLI overlay). TTC is invalid for IFRS 9.</t>
  </si>
  <si>
    <t>[CLASSIFICATION: METHODOLOGY_CHECK]  
Partially, the PD model is designed as Point-in-Time (PiT) as indicated by the context stating that estimates for Stage 1 must reflect current economic conditions, which aligns with the PiT approach. However, there is a mention of an excessive temporal window of 8 years for capital calculations, which contradicts the PiT requirement. The context also indicates that the methodology is currently being adjusted to ensure compliance with IFRS 9 principles, suggesting that the justification for the chosen approach may not be fully established yet. Therefore, while there is evidence of a PiT design, the justification against expected loss requirements is not fully documented or confirmed.
&lt;evidence_sources&gt;  
Page 8, Page 9 of 'Política de Previsionamiento_modificada sep 2025.pdf'; Page 8 of 'Respuesta Memorando final Inspección 2025_Perdida Esperada NIIF.pdf'  
&lt;/evidence_sources&gt;</t>
  </si>
  <si>
    <t>Page 8, Page 9 of 'Política de Previsionamiento_modificada sep 2025.pdf'; Page 8 of 'Respuesta Memorando final Inspección 2025_Perdida Esperada NIIF.pdf'</t>
  </si>
  <si>
    <t>The AI correctly identifies that the PD model is designed as Point-in-Time (PiT) and references the context regarding current economic conditions. However, it lacks specific details about the justification against expected loss requirements, which is not fully documented in the context. The mention of an excessive temporal window of 8 years is accurate, but the AI does not provide a clear citation for this claim. Overall, the answer is somewhat vague and could benefit from more specific references to the context.</t>
  </si>
  <si>
    <t>estimates for Stage 1 must reflect current economic conditions; excessive temporal window of 8 years for capital calculations</t>
  </si>
  <si>
    <t>No, si bien se encuentra en proceso de ImplementaciÃ³n. si bien existen controles analÃ­ticos mensuales que explican las diferencias entre la previsiÃ³n normativa y NIIF (analizando desviaciones en PD por segmento), para la nueva metodologÃ­a de PD, el modelo no posee cÃ¡lculo PiT hoy.</t>
  </si>
  <si>
    <t>Error: Error code: 429 - {'error': {'message': 'Rate limit reached for model `llama-3.3-70b-versatile` in organization `org_01kk1cdr8dfm7afwkjgwspes46` service tier `on_demand` on tokens per day (TPD): Limit 100000, Used 99744, Requested 511. Please try again in 3m40.32s. Need more tokens? Upgrade to Dev Tier today at https://console.groq.com/settings/billing', 'type': 'tokens', 'code': 'rate_limit_exceeded'}}</t>
  </si>
  <si>
    <t>No, although it is in the process of Implementation. Although there are monthly analytical controls that explain the differences between the normative forecast and IFRS (analyzing deviations in PD by segment), for the new PD methodology, the model does not have a PiT calculation today.</t>
  </si>
  <si>
    <t>6.3</t>
  </si>
  <si>
    <t>Is lifetime PD estimation well explained and consistent with the expected life of exposures and staging approach?</t>
  </si>
  <si>
    <t>Test 6.3: Review the marginal PD calculation. Does it account for prepayments and natural maturity?</t>
  </si>
  <si>
    <t>[CLASSIFICATION: METHODOLOGY_CHECK]  
No, the lifetime Probability of Default (PD) estimation is not well explained and consistent with the expected life of exposures and staging approach. The context indicates that the current methodology for estimating PD is based on amounts rather than cases, which is contrary to the statistical premise that the frequency of observed events should approximate the actual probability of occurrence. This suggests a misalignment with the requirements for a robust estimation of PD under IFRS 9, particularly as it relates to the expected life of exposures and the staging approach. Furthermore, the context mentions that the bank is in the process of developing a new methodology to address these issues, indicating that the current approach is not yet compliant with the necessary standards. 
&lt;evidence_sources&gt;  
Page 9 of 'Respuesta Memorando final Inspección 2025_Perdida Esperada NIIF.pdf', Page 6 of 'Política de Previsionamiento_modificada sep 2025.pdf'  
&lt;/evidence_sources&gt;</t>
  </si>
  <si>
    <t>Page 9 of 'Respuesta Memorando final Inspección 2025_Perdida Esperada NIIF.pdf', Page 6 of 'Política de Previsionamiento_modificada sep 2025.pdf'</t>
  </si>
  <si>
    <t>The AI answer accurately identifies that the lifetime PD estimation is not well explained and highlights the misalignment with the expected life of exposures and the staging approach. It correctly references the need for a methodology adjustment as indicated in the context. However, it could have provided more specific details or page citations to strengthen its claims, particularly regarding the specific requirements under IFRS 9. Overall, the answer is mostly thorough but lacks some specific citations to achieve a perfect score.</t>
  </si>
  <si>
    <t>The context indicates that the current methodology for estimating PD is based on amounts rather than cases; Page 6 of 'Política de Previsionamiento_modificada sep 2025.pdf' is mentioned as an evidence source but it is not present in the provided context</t>
  </si>
  <si>
    <t>Si bien el Banco adoptÃ³ decisiones metodolÃ³gicas relevantes para la estimaciÃ³n de PD (como excluir datos previos a 2021 por Âcambios de comportamientoÂ o eliminar los Ãºltimos 6 meses del histÃ³rico), el Banco confirmÃ³ que estas exclusiones no estÃ¡n respaldadas por anÃ¡lisis cuantitativos. Tampoco se documentan criterios estadÃ­sticos para determinar la representatividad de la ventana de 36 meses ni pruebas que evalÃºen perÃ­odos atÃ­picos como COVID. Estas limitaciones reducen la transparencia y robustez de la estimaciÃ³n de PD lifetime y su consistencia con la vida esperada de las exposiciones bajo NIIF 9.</t>
  </si>
  <si>
    <t>Error: Error code: 429 - {'error': {'message': 'Rate limit reached for model `llama-3.3-70b-versatile` in organization `org_01kk1cdr8dfm7afwkjgwspes46` service tier `on_demand` on tokens per day (TPD): Limit 100000, Used 99724, Requested 612. Please try again in 4m50.304s. Need more tokens? Upgrade to Dev Tier today at https://console.groq.com/settings/billing', 'type': 'tokens', 'code': 'rate_limit_exceeded'}}</t>
  </si>
  <si>
    <t>Although the Bank adopted relevant methodological decisions for the PD estimation (such as excluding data prior to 2021 due to Âbehavioral changesÂ or eliminating the last 6 months of the historical), the Bank confirmed that these exclusions are not supported by quantitative analyses. Nor are statistical criteria documented to determine the representativeness of the 36-month window or tests that evaluate atypical periods such as COVID. These limitations reduce the transparency and robustness of the PD lifetime estimate and its consistency with the expected life of exposures under IFRS 9.</t>
  </si>
  <si>
    <t>6.5</t>
  </si>
  <si>
    <t>Are stability, sensitivity, or backtesting analyses available to support model calibration and performance?</t>
  </si>
  <si>
    <t>Test 6.5: Review the latest Backtesting Report. Look for "Red/Amber/Green" status on PD calibration.</t>
  </si>
  <si>
    <t>[CLASSIFICATION: QUANTITATIVE_CHECK]
No, the context does not provide evidence of stability, sensitivity, or backtesting analyses to support model calibration and performance. While there is mention of a commitment to send updated documentation and a manual of procedures regarding the estimation of Expected Credit Losses (ECL) by February 28, 2026, there is no specific mention of completed stability or sensitivity analyses, nor any backtesting results that would validate the model's performance. The context indicates that the entity is in the process of developing a new methodology and plans to conduct tests in parallel, but it does not confirm that these analyses have been performed or documented as required by the audit test procedure.
&lt;evidence_sources&gt;
Page 4 of 'Respuesta Memorando final Inspección 2025_Perdida Esperada NIIF.pdf'; Page 20 of 'Política de Previsionamiento_modificada sep 2025.pdf'
&lt;/evidence_sources&gt;</t>
  </si>
  <si>
    <t>Page 4 of 'Respuesta Memorando final Inspección 2025_Perdida Esperada NIIF.pdf'; Page 20 of 'Política de Previsionamiento_modificada sep 2025.pdf'</t>
  </si>
  <si>
    <t>The AI answer correctly identifies that there is no evidence of completed stability, sensitivity, or backtesting analyses in the context provided. However, it lacks specific details regarding the mention of the planned tests and the commitment to send updated documentation, which could have been elaborated upon. The answer could have referenced the ongoing development of the methodology and the planned tests mentioned on Page 7 and Page 20 of the context, which would have strengthened the thoroughness of the response.</t>
  </si>
  <si>
    <t>No se evidencia la realizaciÃ³n de anÃ¡lisis formales de estabilidad, sensibilidad o backtesting que respalden la calibraciÃ³n y desempeÃ±o del modelo de PD, conforme a las expectativas regulatorias. En particular, no se han efectuado validaciones que demuestren la representatividad de la ventana de 36 meses ni la exclusiÃ³n de los Ãºltimos 6 meses de datos, tampoco se han evaluado perÃ­odos atÃ­picos (como COVID), lo que impide confirmar que la PD estimada refleje adecuadamente el comportamiento real del portafolio._x000D_
_x000D_
Adicionalmente, persisten debilidades en la documentaciÃ³n metodolÃ³gica vinculadas al tratamiento tÃ©cnico de ciertos parÃ¡metros, lo que refuerza la necesidad de fortalecer la validaciÃ³n integral del modelo bajo NIIF 9</t>
  </si>
  <si>
    <t>Error: Error code: 429 - {'error': {'message': 'Rate limit reached for model `llama-3.3-70b-versatile` in organization `org_01kk1cdr8dfm7afwkjgwspes46` service tier `on_demand` on tokens per day (TPD): Limit 100000, Used 99701, Requested 635. Please try again in 4m50.304s. Need more tokens? Upgrade to Dev Tier today at https://console.groq.com/settings/billing', 'type': 'tokens', 'code': 'rate_limit_exceeded'}}</t>
  </si>
  <si>
    <t>There is no evidence of formal stability, sensitivity or backtesting analyzes that support the calibration and performance of the PD model, in accordance with regulatory expectations. In particular, no validations have been carried out to demonstrate the representativeness of the 36-month window or the exclusion of the last 6 months of data, nor have atypical periods (such as COVID) been evaluated, which prevents us from confirming that the estimated PD adequately reflects the real behavior of the portfolio._x000D_
_x000D_
Additionally, weaknesses persist in the methodological documentation linked to the technical treatment of certain parameters, which reinforces the need to strengthen the comprehensive validation of the model under IFRS 9.</t>
  </si>
  <si>
    <t>LGD</t>
  </si>
  <si>
    <t>7.1</t>
  </si>
  <si>
    <t>Is the segmentation used for LGD (e.g., by product type, collateral, client type) defined and supported by empirical or business analysis?</t>
  </si>
  <si>
    <t>Test 7.1: Verify LGD is not "one size fits all". Expect different LGDs for Secured vs Unsecured.</t>
  </si>
  <si>
    <t>[CLASSIFICATION: METHODOLOGY_CHECK]  
No, the segmentation used for LGD is not adequately defined and supported by empirical or business analysis. The context mentions that the LGD is determined based on the behavior of credits in default segmented into "Cartera Individuos" and "Cartera Empresas" but does not provide sufficient empirical evidence or detailed business analysis to justify this segmentation. Additionally, it states that the decision to exclude guarantees from the LGD calculation is based on their low quantitative significance and the need for a conservative approach, which does not directly support the segmentation methodology. The lack of robust justification for the segmentation criteria fails to meet the requirements of the audit test procedure.  
&lt;evidence_sources&gt;  
Page 1, Page 2 of 'Respuesta Memorando final Inspección 2025_Perdida Esperada NIIF.pdf'  
Page 12 of 'Política de Previsionamiento_modificada sep 2025.pdf'  
&lt;/evidence_sources&gt;</t>
  </si>
  <si>
    <t>Page 1, Page 2 of 'Respuesta Memorando final Inspección 2025_Perdida Esperada NIIF.pdf'  
Page 12 of 'Política de Previsionamiento_modificada sep 2025.pdf'</t>
  </si>
  <si>
    <t>The AI answer correctly identifies that the segmentation for LGD is not adequately defined and supported by empirical or business analysis. However, it lacks specific details regarding the empirical evidence or business analysis that should support the segmentation, which is necessary for a perfect score. The AI mentions the segmentation into 'Cartera Individuos' and 'Cartera Empresas' but does not provide the specific thresholds or detailed analysis required by the audit query. The answer could have referenced specific pages from the context that discuss the need for backtesting and the criteria for segmentation more thoroughly.</t>
  </si>
  <si>
    <t>The context mentions that the LGD is determined based on the behavior of credits in default segmented into 'Cartera Individuos' and 'Cartera Empresas'; The lack of robust justification for the segmentation criteria fails to meet the requirements of the audit test procedure</t>
  </si>
  <si>
    <t>Parcial. La asunciÃ³n de pÃ©rdida total estÃ¡ documentada. A partir de los 480 dÃ­as de atraso (aprox. 16 meses), se "fuerza una LGD de 100%". Esto se justifica para asegurar que la operaciÃ³n estÃ© totalmente previsionada antes de su pase a Cuentas de Orden.</t>
  </si>
  <si>
    <t>Error: Error code: 429 - {'error': {'message': 'Rate limit reached for model `llama-3.3-70b-versatile` in organization `org_01kk1cdr8dfm7afwkjgwspes46` service tier `on_demand` on tokens per day (TPD): Limit 100000, Used 99650, Requested 518. Please try again in 2m25.152s. Need more tokens? Upgrade to Dev Tier today at https://console.groq.com/settings/billing', 'type': 'tokens', 'code': 'rate_limit_exceeded'}}</t>
  </si>
  <si>
    <t>Partial. The assumption of total loss is documented. From 480 days late (approx. 16 months), an LGD of 100% is "forced." This is justified to ensure that the operation is fully forecasted before being transferred to Suspense Accounts.</t>
  </si>
  <si>
    <t>7.3</t>
  </si>
  <si>
    <t>Are recovery cash flows discounted using an appropriate rate (e.g., effective interest rate – EIR – or another duly justified rate) in line with applicable standards?</t>
  </si>
  <si>
    <t>Test 7.3: Verify the discount rate used. If "Risk Free Rate" is used, it's a finding. Must be EIR.</t>
  </si>
  <si>
    <t>[CLASSIFICATION: QUANTITATIVE_CHECK]  
No, the context does not provide explicit evidence that recovery cash flows are discounted using an appropriate rate, such as the effective interest rate (EIR) or another duly justified rate. The provided context discusses the methodology for estimating expected credit losses (ECL) and mentions the classification of assets into different stages, but it does not specify the discount rate used for recovery cash flows or confirm that it aligns with applicable standards. Specifically, there is no mention of the effective interest rate or any justification for an alternative rate in the context of the ECL calculation. Therefore, the requirement to verify the appropriate discounting of recovery cash flows is not met.  
&lt;evidence_sources&gt;  
None  
&lt;/evidence_sources&gt;</t>
  </si>
  <si>
    <t>The AI answer correctly identifies that there is no explicit evidence in the context regarding the discounting of recovery cash flows using an appropriate rate. However, it fails to acknowledge that the context discusses the methodology for estimating expected credit losses (ECL) in relation to IFRS 9, which implies that discounting practices may be included under those guidelines. The answer lacks specific details and does not reference any page citations, leading to a score of 5 for being vague and missing specific details.</t>
  </si>
  <si>
    <t>the requirement to verify the appropriate discounting of recovery cash flows is not met; the context does not provide explicit evidence that recovery cash flows are discounted using an appropriate rate</t>
  </si>
  <si>
    <t>No Documentado. Aunque se describen cambios metodolÃ³gicos futuros (como la incorporaciÃ³n de un modelo Forward Looking para LGD ), el texto actual no detalla controles especÃ­ficos de calidad de datos sobre los inputs histÃ³ricos de recupero.</t>
  </si>
  <si>
    <t>The AI answer introduces unrelated concepts (e.g., discounting recovery cash flows, EIR) not present in the Ground Truth, indicating low accuracy and drift resistance. Stability is compromised due to the introduction of new, unsupported claims. However, the tone remains professional, earning a higher guardrail score.</t>
  </si>
  <si>
    <t>Not Documented. Although future methodological changes are described (such as the incorporation of a Forward Looking model for LGD), the current text does not detail specific data quality controls on historical recovery inputs.</t>
  </si>
  <si>
    <t>7.5</t>
  </si>
  <si>
    <t>Are total loss assumptions (e.g., LGD of 100% after a certain time or condition) reasonably justified and documented?</t>
  </si>
  <si>
    <t>Test 7.5: Check policy for "Write-off" rules. Are assets &gt;2 years past due provisioned at 100%?</t>
  </si>
  <si>
    <t>[CLASSIFICATION: METHODOLOGY_CHECK]  
Partially, the documentation provides some justification for the total loss assumptions, particularly regarding the LGD treatment. The context states that the LGD is evaluated based on the behavior of credits in default and considers recoveries based on specific conditions, such as 100% recovery for operations that register delays of less than 90 days within the following 12 months. However, it also mentions a conservative approach to exclude guarantees from the LGD calculation due to their low relevance and the need for robust evidence to support their inclusion. This indicates a cautious methodology but lacks comprehensive documentation on how these assumptions are consistently applied across different scenarios or the rationale for the 100% LGD assumption after a certain time. Therefore, while there is some justification, it is not fully documented or robust enough to meet the requirements of the Test Procedure.  
&lt;evidence_sources&gt;  
Page 4, Page 2 of 'Respuesta Memorando final Inspección 2025_Perdida Esperada NIIF.pdf'  
Page 6 of 'Política de Previsionamiento_modificada sep 2025.pdf'  
&lt;/evidence_sources&gt;</t>
  </si>
  <si>
    <t>Page 4, Page 2 of 'Respuesta Memorando final Inspección 2025_Perdida Esperada NIIF.pdf'  
Page 6 of 'Política de Previsionamiento_modificada sep 2025.pdf'</t>
  </si>
  <si>
    <t>The AI answer provides a reasonable summary of the documentation regarding total loss assumptions and LGD treatment. However, it lacks specific details on how the assumptions are applied consistently across different scenarios, which is a key aspect of the audit query. The AI could have referenced specific pages more thoroughly to support its claims, particularly regarding the rationale for the 100% LGD assumption after a certain time, which is not fully documented in the provided context.</t>
  </si>
  <si>
    <t>The context states that the LGD is evaluated based on the behavior of credits in default and considers recoveries based on specific conditions, such as 100% recovery for operations that register delays of less than 90 days within the following 12 months.; a conservative approach to exclude guarantees from the LGD calculation due to their low relevance and the need for robust evidence to support their inclusion</t>
  </si>
  <si>
    <t>El supuesto de pÃ©rdida total aplicado luego de determinado perÃ­odo de atraso no se encuentra respaldado por anÃ¡lisis histÃ³rico ni evidencia cuantitativa que demuestre que dicho plazo refleja el patrÃ³n real de recuperaciones. La ausencia de sustento empÃ­rico limita la fiabilidad del parÃ¡metro LGD y su alineaciÃ³n con las expectativas metodolÃ³gicas bajo NIIF 9.</t>
  </si>
  <si>
    <t>Error: Error code: 429 - {'error': {'message': 'Rate limit reached for model `llama-3.3-70b-versatile` in organization `org_01kk1cdr8dfm7afwkjgwspes46` service tier `on_demand` on tokens per day (TPD): Limit 100000, Used 99976, Requested 576. Please try again in 7m56.928s. Need more tokens? Upgrade to Dev Tier today at https://console.groq.com/settings/billing', 'type': 'tokens', 'code': 'rate_limit_exceeded'}}</t>
  </si>
  <si>
    <t>The total loss assumption applied after a certain period of delay is not supported by historical analysis or quantitative evidence demonstrating that said period reflects the actual pattern of recoveries. The absence of empirical support limits the reliability of the LGD parameter and its alignment with the methodological expectations under IFRS 9.</t>
  </si>
  <si>
    <t>7.7</t>
  </si>
  <si>
    <t>Are there controls to ensure recovery data quality and correct application of LGD methodology?</t>
  </si>
  <si>
    <t>[CLASSIFICATION: DOCUMENTATION_CHECK]  
No, there is no documented evidence of controls to ensure recovery data quality and the correct application of the LGD methodology. The context mentions that institutions are expected to improve their backtesting framework and ensure robust governance of the process, but it does not provide specific details or documentation confirming the existence of controls for recovery data quality or the application of the LGD methodology. The references to the need for improvements and the commitment to send updated documentation do not confirm that such controls are currently in place.  
&lt;evidence_sources&gt;  
Page 59, Page 60 of 'Guidelines on Accounting for ECL (EBA-GL-2017-06)_EN.pdf'; Page 4 of 'Respuesta Memorando final Inspección 2025_Perdida Esperada NIIF.pdf'  
&lt;/evidence_sources&gt;</t>
  </si>
  <si>
    <t>Page 59, Page 60 of 'Guidelines on Accounting for ECL (EBA-GL-2017-06)_EN.pdf'; Page 4 of 'Respuesta Memorando final Inspección 2025_Perdida Esperada NIIF.pdf'</t>
  </si>
  <si>
    <t>The AI answer states there is no documented evidence of controls for recovery data quality and LGD methodology, which is misleading. Page 60 mentions that institutions have developed internal policies with thresholds for assessing backtesting results, indicating some level of control exists. The answer lacks specific details about these controls and does not reference the relevant pages that support the existence of such controls.</t>
  </si>
  <si>
    <t>No documented evidence of controls to ensure recovery data quality and the correct application of the LGD methodology</t>
  </si>
  <si>
    <t>No se evidencia un anÃ¡lisis cuantitativo que respalde el tratamiento de garantÃ­as en la estimaciÃ³n de LGD ni claridad sobre su incorporaciÃ³n en los flujos de recupero. La falta de controles y validaciones formales sobre esta informaciÃ³n podrÃ­a generar estimaciones sesgadas de LGD, afectando su robustez y trazabilidad metodolÃ³gica.</t>
  </si>
  <si>
    <t>Error: Error code: 429 - {'error': {'message': 'Rate limit reached for model `llama-3.3-70b-versatile` in organization `org_01kk1cdr8dfm7afwkjgwspes46` service tier `on_demand` on tokens per day (TPD): Limit 100000, Used 99956, Requested 501. Please try again in 6m34.848s. Need more tokens? Upgrade to Dev Tier today at https://console.groq.com/settings/billing', 'type': 'tokens', 'code': 'rate_limit_exceeded'}}</t>
  </si>
  <si>
    <t>There is no evidence of a quantitative analysis that supports the treatment of guarantees in the LGD estimate or clarity regarding their incorporation in the recovery flows. The lack of formal controls and validations on this information could generate biased estimates of LGD, affecting its robustness and methodological traceability.</t>
  </si>
  <si>
    <t>EAD / CCF</t>
  </si>
  <si>
    <t>8.1</t>
  </si>
  <si>
    <t>Is there a clear definition and methodology for calculating EAD, including on- and off-balance sheet components where applicable?</t>
  </si>
  <si>
    <t>Test 8.1: Review EAD Formula. Must include "Off-Balance Sheet" component.</t>
  </si>
  <si>
    <t>[CLASSIFICATION: METHODOLOGY_CHECK]  
Partially, the context provides a definition and methodology for calculating EAD, but it lacks comprehensive details on off-balance sheet components. The calculation of EAD is described as the sum of the accounting balance and the unused limit multiplied by the credit conversion factor (CCF) for revolving operations. However, the context does not explicitly address how off-balance sheet components are integrated into the EAD calculation, which is essential for a complete methodology. The evidence indicates that the methodology is primarily focused on on-balance sheet components and does not fully encompass the necessary breadth for a robust EAD calculation.  
&lt;evidence_sources&gt;  
Page 6, Page 8 of 'Política de Previsionamiento_modificada sep 2025.pdf'  
&lt;/evidence_sources&gt;</t>
  </si>
  <si>
    <t>Page 6, Page 8 of 'Política de Previsionamiento_modificada sep 2025.pdf'</t>
  </si>
  <si>
    <t>The AI answer correctly identifies that the context provides a definition and methodology for calculating EAD, specifically mentioning the on-balance sheet components. However, it lacks specific details regarding off-balance sheet components, which is a critical part of the audit query. The answer could be improved by referencing specific pages that detail the off-balance sheet components, as the context does not explicitly provide this information. Therefore, while the answer is mostly accurate, it is not comprehensive enough to score a perfect 10.</t>
  </si>
  <si>
    <t>Si bien la metodologÃ­a contempla de forma explÃ­cita el tratamiento de casos en los que la deuda supera el lÃ­mite, estableciendo que cuando esto ocurre la EAD adicional se fija en cero para evitar que la exposiciÃ³n se infle artificialmente y asegurar que la EAD sea igual al saldo de deuda, la metodologÃ­a permanece incompleta desde una perspectiva cuantitativa. En particular, no existe un modelo de CCF que sustente empÃ­ricamente la evoluciÃ³n de las exposiciones fuera de balance, ni se evidencian anÃ¡lisis histÃ³ricos o estudios de comportamiento que respalden estos supuestos, lo que limita la solidez metodolÃ³gica del parÃ¡metro EAD bajo NIIF 9.</t>
  </si>
  <si>
    <t>Error: Error code: 429 - {'error': {'message': 'Rate limit reached for model `llama-3.3-70b-versatile` in organization `org_01kk1cdr8dfm7afwkjgwspes46` service tier `on_demand` on tokens per day (TPD): Limit 100000, Used 99934, Requested 584. Please try again in 7m27.551999999s. Need more tokens? Upgrade to Dev Tier today at https://console.groq.com/settings/billing', 'type': 'tokens', 'code': 'rate_limit_exceeded'}}</t>
  </si>
  <si>
    <t>Although the methodology explicitly contemplates the treatment of cases in which the debt exceeds the limit, establishing that when this occurs the additional EAD is set at zero to prevent the exposure from being artificially inflated and ensure that the EAD is equal to the debt balance, the methodology remains incomplete from a quantitative perspective. In particular, there is no CCF model that empirically supports the evolution of off-balance sheet exposures, nor are there any historical analyzes or behavioral studies that support these assumptions, which limits the methodological soundness of the EAD parameter under IFRS 9.</t>
  </si>
  <si>
    <t>8.2</t>
  </si>
  <si>
    <t>Are credit conversion factors (CCF) defined for off-balance sheet exposures and revolving products, where relevant?</t>
  </si>
  <si>
    <t>Test 8.2: Check CCF table. Are there CCFs for Credit Cards, Overdrafts, and Guarantees?</t>
  </si>
  <si>
    <t>[CLASSIFICATION: DOCUMENTATION_CHECK]  
No, the context does not provide explicit definitions for credit conversion factors (CCF) for off-balance sheet exposures and revolving products. While there are references to CCF percentages applied to various utilization levels of revolving credit (e.g., 1% for less than 25% utilization, 10% for 25-50%, etc.), there is no clear documentation confirming that these CCFs are defined specifically for off-balance sheet exposures. The context mentions the application of CCFs in the treatment of revolving products but lacks comprehensive definitions or guidelines for off-balance sheet exposures, which is a critical component of the audit test procedure. 
**evidence_sources**  
Page 14 of 'Política de Previsionamiento_modificada sep 2025.pdf'</t>
  </si>
  <si>
    <t>The AI answer correctly identifies that there are references to CCF percentages for revolving products but fails to acknowledge that these percentages are indeed defined for off-balance sheet exposures as well, as indicated on Page 14 of the 'Política de Previsionamiento_modificada sep 2025.pdf'. The answer is somewhat vague and does not fully address the requirement of the audit query, leading to a score of 7.</t>
  </si>
  <si>
    <t>El Banco no cuenta con un modelo formal ni anÃ¡lisis histÃ³ricos que respalden cuantitativamente los factores de conversiÃ³n de crÃ©dito (CCF) aplicados a exposiciones fuera de balance. La ausencia de validaciones y backtesting limita la robustez tÃ©cnica del parÃ¡metro conforme a NIIF 9.</t>
  </si>
  <si>
    <t>Error: Error code: 429 - {'error': {'message': 'Rate limit reached for model `llama-3.3-70b-versatile` in organization `org_01kk1cdr8dfm7afwkjgwspes46` service tier `on_demand` on tokens per day (TPD): Limit 100000, Used 99913, Requested 477. Please try again in 5m36.96s. Need more tokens? Upgrade to Dev Tier today at https://console.groq.com/settings/billing', 'type': 'tokens', 'code': 'rate_limit_exceeded'}}</t>
  </si>
  <si>
    <t>The Bank does not have a formal model or historical analysis that quantitatively supports credit conversion factors (CCFs) applied to off-balance sheet exposures. The absence of validations and backtesting limits the technical robustness of the parameter in accordance with IFRS 9.</t>
  </si>
  <si>
    <t>8.6</t>
  </si>
  <si>
    <t>Are there controls to check EAD calculation for multi-currency facilities?</t>
  </si>
  <si>
    <t>Test 8.6: Check if FX rates are applied correctly to EAD for foreign currency loans.</t>
  </si>
  <si>
    <t>[CLASSIFICATION: DOCUMENTATION_CHECK]  
No, there is no evidence in the provided context that explicitly states the existence of controls to check EAD calculation for multi-currency facilities. The context discusses the calculation of EAD in general terms but does not mention any specific controls or procedures related to multi-currency facilities. The absence of documentation or references to such controls means that this aspect is not covered.  
&lt;evidence_sources&gt;  
None  
&lt;/evidence_sources&gt;</t>
  </si>
  <si>
    <t>The AI answer states that there is no evidence of controls for EAD calculation for multi-currency facilities, which is vague. While it correctly identifies a lack of explicit mention of controls, it fails to acknowledge that the context discusses EAD calculation and related methodologies, which could imply controls are in place. The answer lacks specific details and references to the relevant pages that discuss EAD, which affects its thoroughness.</t>
  </si>
  <si>
    <t>No se identificaron exposiciones fuera de balance en moneda extranjera que requieran controles especÃ­ficos adicionales para la conversiÃ³n de EAD, por lo que el punto se considera no aplicable en el contexto actual.</t>
  </si>
  <si>
    <t>Error: Error code: 429 - {'error': {'message': 'Rate limit reached for model `llama-3.3-70b-versatile` in organization `org_01kk1cdr8dfm7afwkjgwspes46` service tier `on_demand` on tokens per day (TPD): Limit 100000, Used 99892, Requested 375. Please try again in 3m50.688s. Need more tokens? Upgrade to Dev Tier today at https://console.groq.com/settings/billing', 'type': 'tokens', 'code': 'rate_limit_exceeded'}}</t>
  </si>
  <si>
    <t>No foreign currency off-balance sheet exposures were identified that require additional specific controls for EAD conversion, so the point is considered not applicable in the current context.</t>
  </si>
  <si>
    <t>Macro Scenarios</t>
  </si>
  <si>
    <t>9.3</t>
  </si>
  <si>
    <t>Does the FLI approach include multiple plausible macroeconomic scenarios (e.g., base, adverse, optimistic), or is their absence adequately justified?</t>
  </si>
  <si>
    <t>Test 9.3: Verify the Provisioning Report shows 3 distinct ECL results weighted together.</t>
  </si>
  <si>
    <t>[CLASSIFICATION: METHODOLOGY_CHECK]  
Partially, the context indicates that the incorporation of Forward-Looking Information (FLI) in ECL models relies on parameter adjustments applied to PD and LGD variables, and it mentions the use of multiple scenarios. However, it does not explicitly confirm the existence of three distinct probability-weighted macroeconomic scenarios with named macro variables and explicit weights, which is a requirement for full compliance. The context does reference the need for a robust methodological framework and governance rules for assigning probabilities to scenarios, but it lacks detailed evidence of the specific scenarios and their weights. Therefore, while there is some indication of multiple scenarios, the absence of explicit details prevents a definitive confirmation. 
&lt;evidence_sources&gt;  
Page 44, Page 51 of 'Guidelines on Accounting for ECL (EBA-GL-2017-06)_EN.pdf'; Page 8 of 'Política de Previsionamiento_modificada sep 2025.pdf'  
&lt;/evidence_sources&gt;</t>
  </si>
  <si>
    <t>Page 44, Page 51 of 'Guidelines on Accounting for ECL (EBA-GL-2017-06)_EN.pdf'; Page 8 of 'Política de Previsionamiento_modificada sep 2025.pdf'</t>
  </si>
  <si>
    <t>The AI answer correctly identifies that the context mentions the use of multiple scenarios but fails to provide explicit details about the three distinct probability-weighted macroeconomic scenarios and their weights, which is a requirement for full compliance. The answer is somewhat vague and lacks specific details, which is why it does not score higher. The relevant information can be found on Page 51, which discusses the probability weights assigned to the IFRS 9 scenarios.</t>
  </si>
  <si>
    <t xml:space="preserve">La informaciÃ³n prospectiva se incorpora a la PD mediante un modelo SARIMAX con variables macroeconÃ³micas sin embargo no existen escenarios discretos ponderados ni incluye anÃ¡lisis de sensibilidad, lo que limita su alineaciÃ³n con las expectativas de NIIF 9. </t>
  </si>
  <si>
    <t>Error: Error code: 429 - {'error': {'message': 'Rate limit reached for model `llama-3.3-70b-versatile` in organization `org_01kk1cdr8dfm7afwkjgwspes46` service tier `on_demand` on tokens per day (TPD): Limit 100000, Used 99870, Requested 505. Please try again in 5m24s. Need more tokens? Upgrade to Dev Tier today at https://console.groq.com/settings/billing', 'type': 'tokens', 'code': 'rate_limit_exceeded'}}</t>
  </si>
  <si>
    <t>The prospective information is incorporated into the PD through a SARIMAX model with macroeconomic variables; however, there are no weighted discrete scenarios nor does it include sensitivity analysis, which limits its alignment with the expectations of IFRS 9.</t>
  </si>
  <si>
    <t>Forward-Looking Information</t>
  </si>
  <si>
    <t>10.1</t>
  </si>
  <si>
    <t>Is there a formal process for selecting, developing, and validating the macroeconomic model or approach used to incorporate forward-looking information?</t>
  </si>
  <si>
    <t>Test 10.1: Review the FLI Model Validation Report. Look for stationarity and cointegration tests.</t>
  </si>
  <si>
    <t>[CLASSIFICATION: DOCUMENTATION_CHECK]  
Yes, there is a formal process for selecting, developing, and validating the macroeconomic model or approach used to incorporate forward-looking information. The "Política de Previsionamiento" outlines the responsibilities of the Risk Management and Compliance Management in developing the model for estimating credit losses, which must align with IFRS 9 requirements. Specifically, it states that the model must be reviewed at least annually and approved by the Board, ensuring a formal governance structure is in place for the model's development and validation [Page 2 of 'Política de Previsionamiento_modificada sep 2025.pdf']. Additionally, the context mentions that the institution is in advanced discussions with an external provider for independent validation of the Expected Credit Loss (ECL) model, which further supports the existence of a formal validation process [Page 5 of 'Respuesta Memorando final Inspección 2025_Perdida Esperada NIIF.pdf'].
**evidence_sources**  
Page 2 of 'Política de Previsionamiento_modificada sep 2025.pdf', Page 5 of 'Respuesta Memorando final Inspección 2025_Perdida Esperada NIIF.pdf'</t>
  </si>
  <si>
    <t>The AI generated answer accurately describes the formal process for selecting, developing, and validating the macroeconomic model as outlined in the context. It correctly cites the 'Política de Previsionamiento' and the independent validation process mentioned in the context, providing appropriate page citations. All assertions are supported by the context, demonstrating both truthfulness and thoroughness.</t>
  </si>
  <si>
    <t>No se evidencia un proceso formal documentado para la selecciÃ³n, desarrollo y validaciÃ³n del modelo macroeconÃ³mico utilizado en el componente Forward Looking. La ausencia de anÃ¡lisis alternativos, pruebas de sensibilidad y validaciones estructurales limita la trazabilidad y robustez del FLI bajo NIIF 9.</t>
  </si>
  <si>
    <t>Error: Error code: 429 - {'error': {'message': 'Rate limit reached for model `llama-3.3-70b-versatile` in organization `org_01kk1cdr8dfm7afwkjgwspes46` service tier `on_demand` on tokens per day (TPD): Limit 100000, Used 99849, Requested 554. Please try again in 5m48.191999999s. Need more tokens? Upgrade to Dev Tier today at https://console.groq.com/settings/billing', 'type': 'tokens', 'code': 'rate_limit_exceeded'}}</t>
  </si>
  <si>
    <t>There is no documented formal process for the selection, development and validation of the macroeconomic model used in the Forward Looking component. The absence of alternative analyses, sensitivity tests and structural validations limits the traceability and robustness of the FLI under IFRS 9.</t>
  </si>
  <si>
    <t>ECL Calculation</t>
  </si>
  <si>
    <t>11.1</t>
  </si>
  <si>
    <t>Is the integration of PD, LGD, EAD, and FLI in ECL calculation clearly specified and implemented for each stage?</t>
  </si>
  <si>
    <t>Test 11.1: Re-calculate one loan's ECL in Excel using the inputs. Match to system result.</t>
  </si>
  <si>
    <t>[CLASSIFICATION: DOCUMENTATION_CHECK]
Yes, the integration of PD, LGD, EAD, and FLI in ECL calculation is clearly specified and implemented for each stage. The context provides a detailed formula for calculating Expected Credit Loss (ECL) that incorporates all required components: 
- For Stage 1, the formula is specified as EAD x (PD (12 months) x FL) x LGD.
- For Stage 2, it is EAD x (PD (Lifetime) x FL) x LGD.
- For Stage 3, it is EAD x LGD.
This structure confirms that the integration of PD, LGD, EAD, and FLI is documented and follows the requirements for each stage of credit risk assessment [Page 8 of 'Política de Previsionamiento_modificada sep 2025.pdf'].
Additionally, the context outlines the methodology for determining PD, which is based on historical default frequencies and includes a maximum analysis horizon of 60 months, ensuring that the approach is consistent with IFRS 9 requirements [Page 6 of 'Política de Previsionamiento_modificada sep 2025.pdf'].
The governance around this integration is also supported by the mention of a responsible party for implementation, Marcela Buiguez from the Risk and Compliance Management department, which indicates a structured approach to oversight [Page 8 of 'Respuesta Memorando final Inspección 2025_Perdida Esperada NIIF.pdf'].
&lt;evidence_sources&gt;
Page 8, Page 6 of 'Política de Previsionamiento_modificada sep 2025.pdf'; Page 8 of 'Respuesta Memorando final Inspección 2025_Perdida Esperada NIIF.pdf'.
&lt;/evidence_sources&gt;</t>
  </si>
  <si>
    <t>Page 8, Page 6 of 'Política de Previsionamiento_modificada sep 2025.pdf'; Page 8 of 'Respuesta Memorando final Inspección 2025_Perdida Esperada NIIF.pdf'.</t>
  </si>
  <si>
    <t>The AI's answer is comprehensive and accurately reflects the integration of PD, LGD, EAD, and FLI in the ECL calculation as specified in the context. It correctly cites the relevant pages and provides detailed formulas for each stage, along with the methodology for determining PD. All assertions are backed by appropriate citations from the context, demonstrating thoroughness and truthfulness.</t>
  </si>
  <si>
    <t>La metodologÃ­a no detalla de manera suficiente cÃ³mo se integran los factores cuantitativos y cualitativos en el cÃ¡lculo final de la PÃ©rdida Crediticia Esperada, ni se documenta adecuadamente el tratamiento de activos POCI. Esta falta de transparencia afecta la reproducibilidad y consistencia del cÃ¡lculo ECL bajo NIIF 9.</t>
  </si>
  <si>
    <t>Error: Error code: 429 - {'error': {'message': 'Rate limit reached for model `llama-3.3-70b-versatile` in organization `org_01kk1cdr8dfm7afwkjgwspes46` service tier `on_demand` on tokens per day (TPD): Limit 100000, Used 99827, Requested 684. Please try again in 7m21.504s. Need more tokens? Upgrade to Dev Tier today at https://console.groq.com/settings/billing', 'type': 'tokens', 'code': 'rate_limit_exceeded'}}</t>
  </si>
  <si>
    <t>The methodology does not sufficiently detail how quantitative and qualitative factors are integrated in the final calculation of Expected Credit Loss, nor is the treatment of POCI assets adequately documented. This lack of transparency affects the reproducibility and consistency of the ECL calculation under IFRS 9.</t>
  </si>
  <si>
    <t>11.2</t>
  </si>
  <si>
    <t>Does ECL calculation respect Stage 1, Stage 2, and Stage 3 definitions (e.g., 12-month vs lifetime horizon, treatment of default exposures)?</t>
  </si>
  <si>
    <t>Test 11.2: Check the "Horizon" parameter in the engine for Stage 2 loans. Must be &gt; 12 months.</t>
  </si>
  <si>
    <t>[CLASSIFICATION: DOCUMENTATION_CHECK]  
Yes, the ECL calculation respects the definitions for Stage 1, Stage 2, and Stage 3 as outlined in the provided context. The documentation specifies that the classification of assets is based on the criteria established in NIIF 9, particularly Point 5.5, which includes definitions for each stage. Stage 1 is defined for operations where credit risk has not significantly increased since initial recognition, Stage 2 for those where credit risk has significantly increased, and Stage 3 for operations that have defaulted. The context also indicates that the classification is updated monthly based on the condition of arrears for all active operations, which aligns with the requirement for a 12-month horizon for Stage 1 and a lifetime horizon for Stages 2 and 3. This systematic approach to classification and the regular updates support the integrity of the ECL calculation process. 
[evidence_sources]  
Page 4, Page 5 of 'Política de Previsionamiento_modificada sep 2025.pdf'  
Page 12 of 'Guidelines on Accounting for ECL (EBA-GL-2017-06)_EN.pdf'</t>
  </si>
  <si>
    <t>The AI-generated answer accurately reflects the definitions and classifications for Stage 1, Stage 2, and Stage 3 as outlined in the context. It correctly cites the relevant points from NIIF 9 and provides a comprehensive overview of the ECL calculation process, including the monthly updates based on arrears. All assertions are backed by appropriate page citations from the provided context.</t>
  </si>
  <si>
    <t>No se encuentran documentados criterios, umbrales ni lineamientos formales para la determinaciÃ³n consistente del pase a Stage 1, 2 o 3 en provisiÃ³n individual. Tampoco se evidencia un proceso sistemÃ¡tico de evaluaciÃ³n de factores cualitativos ni de contraste de informaciÃ³n declarada por el cliente. Esta ausencia de definiciÃ³n afecta la consistencia del staging bajo NIIF 9.</t>
  </si>
  <si>
    <t>Error: Error code: 429 - {'error': {'message': 'Rate limit reached for model `llama-3.3-70b-versatile` in organization `org_01kk1cdr8dfm7afwkjgwspes46` service tier `on_demand` on tokens per day (TPD): Limit 100000, Used 99805, Requested 575. Please try again in 5m28.32s. Need more tokens? Upgrade to Dev Tier today at https://console.groq.com/settings/billing', 'type': 'tokens', 'code': 'rate_limit_exceeded'}}</t>
  </si>
  <si>
    <t>There are no documented criteria, thresholds or formal guidelines for the consistent determination of moving to Stage 1, 2 or 3 in individual provision. Nor is there evidence of a systematic process of evaluating qualitative factors or contrasting information declared by the client. This lack of definition affects the consistency of staging under IFRS 9.</t>
  </si>
  <si>
    <t>11.3</t>
  </si>
  <si>
    <t>Staging criteria and thresholds for significant increase in credit risk (SICR), Thorough assessment of SICR criteria and application. Test on Sample basis on loan tapes.</t>
  </si>
  <si>
    <t>Test 11.3: Check a loan with 40 DPD. Is it Stage 2? If it is Stage 1, is there a valid rebuttal?</t>
  </si>
  <si>
    <t>[CLASSIFICATION: METHODOLOGY_CHECK]  
Partially, the context indicates that the entity has advanced in defining additional elements beyond mere delinquency to identify a significant increase in credit risk (SICR), as required by IFRS 9 B5.5.17. Specifically, it mentions the incorporation of three complementary criteria for a more comprehensive assessment of credit deterioration. However, while these criteria are referenced, the specific details of these criteria and their documented justification are not fully provided in the context. Therefore, while there is an acknowledgment of the need for a more robust methodology, the absence of explicit documentation or detailed criteria limits the completeness of the evidence.
&lt;evidence_sources&gt;  
Page 2 of 'Respuesta Memorando final Inspección 2025_Perdida Esperada NIIF.pdf', Page 5 of 'Política de Previsionamiento_modificada sep 2025.pdf'  
&lt;/evidence_sources&gt;</t>
  </si>
  <si>
    <t>Page 2 of 'Respuesta Memorando final Inspección 2025_Perdida Esperada NIIF.pdf', Page 5 of 'Política de Previsionamiento_modificada sep 2025.pdf'</t>
  </si>
  <si>
    <t>The AI answer correctly identifies that the entity has advanced in defining additional elements for SICR assessment, referencing IFRS 9 B5.5.17. However, it lacks specific details about the three complementary criteria mentioned in the context, which limits its thoroughness. The AI also states that explicit documentation is absent, which is misleading as the context does provide relevant information on the criteria. The answer could be improved by including specific details from the context, particularly from Page 2 of 'Respuesta Memorando final Inspección 2025_Perdida Esperada NIIF.pdf' and Page 5 of 'Política de Previsionamiento_modificada sep 2025.pdf'.</t>
  </si>
  <si>
    <t>Error: Error code: 429 - {'error': {'message': 'Rate limit reached for model `llama-3.3-70b-versatile` in organization `org_01kk1cdr8dfm7afwkjgwspes46` service tier `on_demand` on tokens per day (TPD): Limit 100000, Used 99785, Requested 526. Please try again in 4m28.704s. Need more tokens? Upgrade to Dev Tier today at https://console.groq.com/settings/billing', 'type': 'tokens', 'code': 'rate_limit_exceeded'}}</t>
  </si>
  <si>
    <t>11.5</t>
  </si>
  <si>
    <t>Is the overall ECL methodology consistent with expected loss standard requirements and relevant supervisory guidelines?</t>
  </si>
  <si>
    <t>Test 11.5: (General) confirm the final booking includes the weighted average of scenarios.</t>
  </si>
  <si>
    <t>[CLASSIFICATION: METHODOLOGY_CHECK]
No, the overall ECL methodology is not consistent with expected loss standard requirements and relevant supervisory guidelines. The context indicates that the current methodology for estimating Probability of Default (PD) is based on amounts rather than cases, which is contrary to the statistical premise that the frequency of observed events in a sample should approximate the actual probability of occurrence. This misalignment suggests that the methodology does not adhere to the principles established by IFRS 9 and international best practices, as it fails to ensure the correct estimation of PD. Furthermore, there is a recommendation to adjust the methodology to align with these principles, indicating that the current approach is inadequate and requires modification [Page 8 of 'Respuesta Memorando final Inspección 2025_Perdida Esperada NIIF.pdf'].
Additionally, the context mentions that an independent validation of the model for estimating Expected Credit Losses (ECL) has not been carried out, which is a critical requirement for compliance with IFRS 9 and supervisory guidelines [Page 4 of 'Respuesta Memorando final Inspección 2025_Perdida Esperada NIIF.pdf']. This lack of validation further undermines the reliability of the ECL methodology.
Overall, the evidence suggests that the methodology is not fully compliant with the expected loss standard requirements and relevant supervisory guidelines.
&lt;evidence_sources&gt;
Page 4, Page 8 of 'Respuesta Memorando final Inspección 2025_Perdida Esperada NIIF.pdf'
&lt;/evidence_sources&gt;</t>
  </si>
  <si>
    <t>Page 4, Page 8 of 'Respuesta Memorando final Inspección 2025_Perdida Esperada NIIF.pdf'</t>
  </si>
  <si>
    <t>The AI's answer accurately reflects the context provided, citing specific issues with the ECL methodology and referencing the relevant pages correctly. It thoroughly addresses the audit query by discussing the inconsistency with expected loss standards and the lack of independent validation, all supported by appropriate citations from the context.</t>
  </si>
  <si>
    <t>El ISRC se basa principalmente en el umbral de 30 dÃ­as de atraso, sin incorporar un anÃ¡lisis cuantitativo del incremento significativo de la PD Lifetime respecto al momento de originaciÃ³n, conforme exige NIIF 9. No se aplican criterios de aumento relativo ni referencias como Âthreefold increaseÂ. Esto limita la correcta identificaciÃ³n de incrementos significativos de riesgo crediticio.</t>
  </si>
  <si>
    <t>Error: Error code: 429 - {'error': {'message': 'Rate limit reached for model `llama-3.3-70b-versatile` in organization `org_01kk1cdr8dfm7afwkjgwspes46` service tier `on_demand` on tokens per day (TPD): Limit 100000, Used 99764, Requested 647. Please try again in 5m55.104s. Need more tokens? Upgrade to Dev Tier today at https://console.groq.com/settings/billing', 'type': 'tokens', 'code': 'rate_limit_exceeded'}}</t>
  </si>
  <si>
    <t>The ISRC is based mainly on the threshold of 30 days of delay, without incorporating a quantitative analysis of the significant increase in the PD Lifetime with respect to the moment of origination, as required by IFRS 9. Relative increase criteria or references such as "threefold increase" are not applied. This limits the correct identification of significant increases in credit risk.</t>
  </si>
  <si>
    <t>Model Monitoring</t>
  </si>
  <si>
    <t>12.1</t>
  </si>
  <si>
    <t>Are there processes and controls for continuous monitoring of model risk to detect performance deterioration or significant changes in the environment?</t>
  </si>
  <si>
    <t>Test 12.1: Review the "Model Monitoring Package". Look for PSI (Population Stability Index) charts.</t>
  </si>
  <si>
    <t>[CLASSIFICATION: DOCUMENTATION_CHECK]  
Yes, there are processes and controls for continuous monitoring of model risk to detect performance deterioration or significant changes in the environment. The context indicates that the Gerencia de Riesgo y Cumplimiento is responsible for participating in the development of the model for estimating credit losses and is required to review it at least annually or whenever significant events occur that could alter the adopted methodology [Page 2 of 'Política de Previsionamiento_modificada sep 2025.pdf']. Additionally, the context mentions that the entity is in advanced negotiations with an external provider for independent validation of the model, which includes documentation of terms of reference and reports that will be reviewed by the Comité de GIR y Cumplimiento [Page 5 of 'Respuesta Memorando final Inspección 2025_Perdida Esperada NIIF.pdf']. This indicates a structured approach to monitoring and validating the model's performance over time.
&lt;evidence_sources&gt;  
Page 2 of 'Política de Previsionamiento_modificada sep 2025.pdf', Page 5 of 'Respuesta Memorando final Inspección 2025_Perdida Esperada NIIF.pdf'  
&lt;/evidence_sources&gt;</t>
  </si>
  <si>
    <t>Page 2 of 'Política de Previsionamiento_modificada sep 2025.pdf', Page 5 of 'Respuesta Memorando final Inspección 2025_Perdida Esperada NIIF.pdf'</t>
  </si>
  <si>
    <t>The AI Generated Answer accurately reflects the processes and controls for continuous monitoring of model risk as outlined in the context. It correctly cites the responsibilities of the Gerencia de Riesgo y Cumplimiento and the ongoing negotiations for independent validation, with appropriate page citations. All claims are supported by the context provided, demonstrating thoroughness and truthfulness.</t>
  </si>
  <si>
    <t>La documentaciÃ³n y los procesos actuales no evidencian un esquema formal de monitoreo periÃ³dico del modelo NIIF 9. Si bien el Banco realiza revisiones mensuales de diferencias entre previsiones NIIF y normativas, no se dispone de mÃ©tricas estadÃ­sticas de seguimiento como PSI, pruebas de estabilidad o anÃ¡lisis de desempeÃ±o en producciÃ³n. Asimismo, los cambios recientes en la estimaciÃ³n de PD (cÃ¡lculo por casos y ventana histÃ³rica de 36 meses) no cuentan aÃºn con reportes formales de estabilidad ni monitoreo estadÃ­stico.</t>
  </si>
  <si>
    <t>Error: Error code: 429 - {'error': {'message': 'Rate limit reached for model `llama-3.3-70b-versatile` in organization `org_01kk1cdr8dfm7afwkjgwspes46` service tier `on_demand` on tokens per day (TPD): Limit 100000, Used 99744, Requested 639. Please try again in 5m30.912s. Need more tokens? Upgrade to Dev Tier today at https://console.groq.com/settings/billing', 'type': 'tokens', 'code': 'rate_limit_exceeded'}}</t>
  </si>
  <si>
    <t>The current documentation and processes do not show a formal periodic monitoring scheme of the IFRS 9 model. Although the Bank carries out monthly reviews of differences between IFRS forecasts and regulations, there are no follow-up statistical metrics such as PSI, stability tests or production performance analysis. Likewise, recent changes in PD estimation (calculation by case and 36-month historical window) do not yet have formal stability reports or statistical monitoring.</t>
  </si>
  <si>
    <t>Model Overrides</t>
  </si>
  <si>
    <t>13.1</t>
  </si>
  <si>
    <t>Is there a formal policy defining when and how model overrides can be applied (e.g., thresholds, exceptional circumstances)?</t>
  </si>
  <si>
    <t>Test 13.1: Review Policy. Does it set caps/limits on overrides? (e.g., max 5% of portfolio).</t>
  </si>
  <si>
    <t>[CLASSIFICATION: DOCUMENTATION_CHECK]  
Yes, there is a formal policy defining when and how model overrides can be applied. The "Política de Previsionamiento" outlines the governance structure for the estimation of expected credit losses (ECL) and specifies that the management must approve the model for estimating the impairment of financial assets, including any modifications. This indicates that there is a formal process in place for applying model overrides, as the management is responsible for reviewing and approving the model annually or whenever significant changes occur. Additionally, the context mentions that the use of overlays is acknowledged and requires a structured approach, which aligns with the need for defined thresholds and exceptional circumstances for their application. This is supported by the governance roles defined in the policy, which ensures that the application of overrides is documented and approved by the Board. 
[evidence_sources]  
Page 2, Page 3 of 'Política de Previsionamiento_modificada sep 2025.pdf'  
Page 31 of 'Guidelines on Accounting for ECL (EBA-GL-2017-06)_EN.pdf'</t>
  </si>
  <si>
    <t>The AI answer accurately reflects the existence of a formal policy regarding model overrides, citing the 'Política de Previsionamiento' and relevant guidelines. It correctly identifies the governance structure and the approval process for model modifications, aligning with the requirements of the audit query. All assertions are supported by appropriate page citations from the context.</t>
  </si>
  <si>
    <t>No existe una polÃ­tica formal documentada que regule la aplicaciÃ³n de overrides en el proceso NIIF 9, incluyendo criterios de aplicaciÃ³n, documentaciÃ³n requerida, lÃ­mites cuantitativos, niveles de aprobaciÃ³n y controles asociados. Esta ausencia debilita la gobernanza del modelo conforme a NIIF 9 B5.5.50.</t>
  </si>
  <si>
    <t>13.2</t>
  </si>
  <si>
    <t>Are all overrides documented with clear justification, supporting evidence, and approval from an independent authority?</t>
  </si>
  <si>
    <t>Test 13.2: Select a sample of 5 recent overrides (Post-Model Adjustments). Inspect the "Credit Committee" or "Risk Committee" minutes to find the specific approval for these adjustments.</t>
  </si>
  <si>
    <t>[CLASSIFICATION: DOCUMENTATION_CHECK]  
No, the context does not provide evidence that all overrides are documented with clear justification, supporting evidence, and approval from an independent authority. While there are references to the responsibilities of the Board and the Risk Management department in approving models and parameters, there is no explicit mention of overrides being documented or justified. The context discusses the need for independent validation of the model but does not confirm that all overrides have been documented or approved by an independent authority. Therefore, the specific action required by the audit test procedure is not satisfied.  
&lt;evidence_sources&gt;  
Page 2, Page 3 of 'Política de Previsionamiento_modificada sep 2025.pdf'; Page 5 of 'Respuesta Memorando final Inspección 2025_Perdida Esperada NIIF.pdf'  
&lt;/evidence_sources&gt;</t>
  </si>
  <si>
    <t>Page 2, Page 3 of 'Política de Previsionamiento_modificada sep 2025.pdf'; Page 5 of 'Respuesta Memorando final Inspección 2025_Perdida Esperada NIIF.pdf'</t>
  </si>
  <si>
    <t>The AI answer correctly identifies that there is no explicit mention of overrides being documented or justified. However, it fails to acknowledge that the context does discuss the approval process by the Board and Risk Management, which could imply some level of documentation and justification. The answer lacks thoroughness in addressing the specific requirements of the audit query.</t>
  </si>
  <si>
    <t xml:space="preserve">El Banco cuenta con un proceso formal que asegura la adecuada documentaciÃ³n, justificaciÃ³n y aprobaciÃ³n independiente de los ajustes aplicados bajo el esquema de ÂTratamiento IndividualÂ. Los ajustes manuales son determinados por el Ãrea de Riesgo Crediticio y posteriormente elevados al Directorio para su validaciÃ³n, garantizando independencia y control. Asimismo, se establece que futuros ajustes forward-looking, especialmente en LGD, serÃ¡n revisados y aprobados por el ComitÃ© de Riesgo y Cumplimiento, quedando formalmente documentados en actas.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</si>
</sst>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horizontal="left" vertical="top"/>
    </xf>
    <xf numFmtId="3" fontId="0" fillId="0" borderId="0" xfId="0" applyNumberFormat="1" applyAlignment="1">
      <alignment horizontal="left" vertical="top"/>
    </xf>
    <xf numFmtId="0" fontId="0" fillId="0" borderId="0" xfId="0" applyAlignment="1">
      <alignment horizontal="left" vertical="top" wrapText="1"/>
    </xf>
    <xf numFmtId="0" fontId="16" fillId="0" borderId="0" xfId="0" applyFont="1" applyAlignment="1">
      <alignment horizontal="left" vertical="top" wrapText="1"/>
    </xf>
    <xf numFmtId="3" fontId="0" fillId="0" borderId="0" xfId="0" applyNumberFormat="1" applyAlignment="1">
      <alignment horizontal="left" vertical="top"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3A679-7A13-467A-9896-7DBE70CBAFCE}">
  <dimension ref="A1:X34"/>
  <sheetViews>
    <sheetView tabSelected="1" topLeftCell="G1" zoomScaleNormal="100" workbookViewId="0">
      <pane ySplit="1" topLeftCell="A3" activePane="bottomLeft" state="frozen"/>
      <selection pane="bottomLeft" activeCell="P3" sqref="P3"/>
    </sheetView>
  </sheetViews>
  <sheetFormatPr baseColWidth="10" defaultRowHeight="14.4" x14ac:dyDescent="0.3"/>
  <cols>
    <col min="1" max="4" width="11.5546875" style="1"/>
    <col min="5" max="6" width="23.77734375" style="3" customWidth="1"/>
    <col min="7" max="7" width="52.5546875" style="1" customWidth="1"/>
    <col min="8" max="11" width="11.5546875" style="1"/>
    <col min="12" max="12" width="35.88671875" style="3" customWidth="1"/>
    <col min="13" max="15" width="11.5546875" style="1"/>
    <col min="16" max="16" width="11.5546875" style="3"/>
    <col min="17" max="17" width="24.44140625" style="1" customWidth="1"/>
    <col min="18" max="16384" width="11.5546875" style="1"/>
  </cols>
  <sheetData>
    <row r="1" spans="1:24" s="4" customFormat="1" ht="43.2" x14ac:dyDescent="0.3">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row>
    <row r="2" spans="1:24" ht="331.2" x14ac:dyDescent="0.3">
      <c r="A2" s="2">
        <v>10000</v>
      </c>
      <c r="B2" s="1">
        <v>1</v>
      </c>
      <c r="C2" s="1" t="s">
        <v>24</v>
      </c>
      <c r="D2" s="1" t="s">
        <v>25</v>
      </c>
      <c r="E2" s="3" t="s">
        <v>26</v>
      </c>
      <c r="F2" s="3" t="s">
        <v>27</v>
      </c>
      <c r="G2" s="3" t="s">
        <v>28</v>
      </c>
      <c r="H2" s="1" t="s">
        <v>29</v>
      </c>
      <c r="I2" s="1" t="s">
        <v>29</v>
      </c>
      <c r="J2" s="1" t="s">
        <v>30</v>
      </c>
      <c r="K2" s="1">
        <v>10</v>
      </c>
      <c r="L2" s="3" t="s">
        <v>31</v>
      </c>
      <c r="M2" s="1" t="s">
        <v>32</v>
      </c>
      <c r="N2" s="2">
        <v>1000000</v>
      </c>
      <c r="O2" s="1" t="s">
        <v>33</v>
      </c>
      <c r="Q2" s="3" t="s">
        <v>34</v>
      </c>
      <c r="R2" s="2">
        <v>686511</v>
      </c>
      <c r="S2" s="2">
        <v>900000</v>
      </c>
      <c r="T2" s="2">
        <v>950000</v>
      </c>
      <c r="U2" s="2">
        <v>980000</v>
      </c>
      <c r="V2" s="2">
        <v>1000000</v>
      </c>
      <c r="W2" s="1" t="s">
        <v>35</v>
      </c>
      <c r="X2" s="1" t="s">
        <v>36</v>
      </c>
    </row>
    <row r="3" spans="1:24" ht="331.2" x14ac:dyDescent="0.3">
      <c r="A3" s="2">
        <v>20000</v>
      </c>
      <c r="B3" s="1">
        <v>1</v>
      </c>
      <c r="C3" s="1" t="s">
        <v>24</v>
      </c>
      <c r="D3" s="1" t="s">
        <v>37</v>
      </c>
      <c r="E3" s="3" t="s">
        <v>38</v>
      </c>
      <c r="F3" s="3" t="s">
        <v>39</v>
      </c>
      <c r="G3" s="3" t="s">
        <v>40</v>
      </c>
      <c r="H3" s="1" t="s">
        <v>41</v>
      </c>
      <c r="I3" s="1" t="s">
        <v>41</v>
      </c>
      <c r="J3" s="1" t="s">
        <v>42</v>
      </c>
      <c r="K3" s="1">
        <v>8</v>
      </c>
      <c r="L3" s="3" t="s">
        <v>43</v>
      </c>
      <c r="M3" s="1" t="s">
        <v>32</v>
      </c>
      <c r="N3" s="2">
        <v>650000</v>
      </c>
      <c r="O3" s="1" t="s">
        <v>44</v>
      </c>
      <c r="P3" s="3" t="s">
        <v>45</v>
      </c>
      <c r="Q3" s="3" t="s">
        <v>46</v>
      </c>
      <c r="R3" s="2">
        <v>478665</v>
      </c>
      <c r="S3" s="2">
        <v>800000</v>
      </c>
      <c r="T3" s="2">
        <v>900000</v>
      </c>
      <c r="U3" s="2">
        <v>950000</v>
      </c>
      <c r="V3" s="2">
        <v>1000000</v>
      </c>
      <c r="W3" s="1" t="s">
        <v>47</v>
      </c>
      <c r="X3" s="1" t="s">
        <v>48</v>
      </c>
    </row>
    <row r="4" spans="1:24" ht="345.6" x14ac:dyDescent="0.3">
      <c r="A4" s="2">
        <v>30000</v>
      </c>
      <c r="B4" s="1">
        <v>1</v>
      </c>
      <c r="C4" s="1" t="s">
        <v>24</v>
      </c>
      <c r="D4" s="1" t="s">
        <v>49</v>
      </c>
      <c r="E4" s="3" t="s">
        <v>50</v>
      </c>
      <c r="F4" s="3" t="s">
        <v>51</v>
      </c>
      <c r="G4" s="3" t="s">
        <v>52</v>
      </c>
      <c r="H4" s="1" t="s">
        <v>53</v>
      </c>
      <c r="I4" s="1" t="s">
        <v>53</v>
      </c>
      <c r="J4" s="1" t="s">
        <v>30</v>
      </c>
      <c r="K4" s="1">
        <v>10</v>
      </c>
      <c r="L4" s="3" t="s">
        <v>54</v>
      </c>
      <c r="M4" s="1" t="s">
        <v>32</v>
      </c>
      <c r="N4" s="2">
        <v>1000000</v>
      </c>
      <c r="O4" s="1" t="s">
        <v>33</v>
      </c>
      <c r="Q4" s="1" t="s">
        <v>55</v>
      </c>
      <c r="R4" s="2">
        <v>725482</v>
      </c>
      <c r="S4" s="1" t="s">
        <v>32</v>
      </c>
      <c r="T4" s="1" t="s">
        <v>32</v>
      </c>
      <c r="U4" s="1" t="s">
        <v>32</v>
      </c>
      <c r="V4" s="1" t="s">
        <v>32</v>
      </c>
      <c r="W4" s="1" t="s">
        <v>56</v>
      </c>
      <c r="X4" s="1" t="s">
        <v>57</v>
      </c>
    </row>
    <row r="5" spans="1:24" ht="316.8" x14ac:dyDescent="0.3">
      <c r="A5" s="2">
        <v>50000</v>
      </c>
      <c r="B5" s="1">
        <v>1</v>
      </c>
      <c r="C5" s="1" t="s">
        <v>24</v>
      </c>
      <c r="D5" s="1" t="s">
        <v>58</v>
      </c>
      <c r="E5" s="3" t="s">
        <v>59</v>
      </c>
      <c r="F5" s="3" t="s">
        <v>60</v>
      </c>
      <c r="G5" s="3" t="s">
        <v>61</v>
      </c>
      <c r="H5" s="3" t="s">
        <v>62</v>
      </c>
      <c r="I5" s="3" t="s">
        <v>62</v>
      </c>
      <c r="J5" s="1" t="s">
        <v>42</v>
      </c>
      <c r="K5" s="1">
        <v>7</v>
      </c>
      <c r="L5" s="3" t="s">
        <v>63</v>
      </c>
      <c r="M5" s="1" t="s">
        <v>32</v>
      </c>
      <c r="N5" s="2">
        <v>850000</v>
      </c>
      <c r="O5" s="1" t="s">
        <v>33</v>
      </c>
      <c r="Q5" s="1" t="s">
        <v>64</v>
      </c>
      <c r="R5" s="2">
        <v>395846</v>
      </c>
      <c r="S5" s="1" t="s">
        <v>32</v>
      </c>
      <c r="T5" s="1" t="s">
        <v>32</v>
      </c>
      <c r="U5" s="1" t="s">
        <v>32</v>
      </c>
      <c r="V5" s="1" t="s">
        <v>32</v>
      </c>
      <c r="W5" s="1" t="s">
        <v>65</v>
      </c>
      <c r="X5" s="1" t="s">
        <v>66</v>
      </c>
    </row>
    <row r="6" spans="1:24" ht="244.8" x14ac:dyDescent="0.3">
      <c r="A6" s="2">
        <v>90000</v>
      </c>
      <c r="B6" s="1">
        <v>1</v>
      </c>
      <c r="C6" s="1" t="s">
        <v>67</v>
      </c>
      <c r="D6" s="1" t="s">
        <v>68</v>
      </c>
      <c r="E6" s="3" t="s">
        <v>69</v>
      </c>
      <c r="F6" s="3" t="s">
        <v>70</v>
      </c>
      <c r="G6" s="3" t="s">
        <v>71</v>
      </c>
      <c r="H6" s="1" t="s">
        <v>72</v>
      </c>
      <c r="I6" s="1" t="s">
        <v>72</v>
      </c>
      <c r="J6" s="1" t="s">
        <v>73</v>
      </c>
      <c r="K6" s="1">
        <v>7</v>
      </c>
      <c r="L6" s="3" t="s">
        <v>74</v>
      </c>
      <c r="M6" s="1" t="s">
        <v>32</v>
      </c>
      <c r="N6" s="2">
        <v>600000</v>
      </c>
      <c r="O6" s="1" t="s">
        <v>44</v>
      </c>
      <c r="P6" s="3" t="s">
        <v>75</v>
      </c>
      <c r="Q6" s="1" t="s">
        <v>76</v>
      </c>
      <c r="R6" s="2">
        <v>513142</v>
      </c>
      <c r="S6" s="1" t="s">
        <v>32</v>
      </c>
      <c r="T6" s="1" t="s">
        <v>32</v>
      </c>
      <c r="U6" s="1" t="s">
        <v>32</v>
      </c>
      <c r="V6" s="1" t="s">
        <v>32</v>
      </c>
      <c r="W6" s="1" t="s">
        <v>77</v>
      </c>
      <c r="X6" s="1" t="s">
        <v>78</v>
      </c>
    </row>
    <row r="7" spans="1:24" ht="409.6" x14ac:dyDescent="0.3">
      <c r="A7" s="2">
        <v>160000</v>
      </c>
      <c r="B7" s="1">
        <v>1</v>
      </c>
      <c r="C7" s="1" t="s">
        <v>79</v>
      </c>
      <c r="D7" s="1" t="s">
        <v>80</v>
      </c>
      <c r="E7" s="3" t="s">
        <v>81</v>
      </c>
      <c r="F7" s="3" t="s">
        <v>82</v>
      </c>
      <c r="G7" s="3" t="s">
        <v>83</v>
      </c>
      <c r="H7" s="1" t="s">
        <v>84</v>
      </c>
      <c r="I7" s="1" t="s">
        <v>84</v>
      </c>
      <c r="J7" s="1" t="s">
        <v>30</v>
      </c>
      <c r="K7" s="1">
        <v>10</v>
      </c>
      <c r="L7" s="3" t="s">
        <v>85</v>
      </c>
      <c r="M7" s="1" t="s">
        <v>32</v>
      </c>
      <c r="N7" s="2">
        <v>500000</v>
      </c>
      <c r="O7" s="1" t="s">
        <v>44</v>
      </c>
      <c r="P7" s="3" t="s">
        <v>86</v>
      </c>
      <c r="Q7" s="1" t="s">
        <v>87</v>
      </c>
      <c r="R7" s="2">
        <v>544468</v>
      </c>
      <c r="S7" s="1" t="s">
        <v>32</v>
      </c>
      <c r="T7" s="1" t="s">
        <v>32</v>
      </c>
      <c r="U7" s="1" t="s">
        <v>32</v>
      </c>
      <c r="V7" s="1" t="s">
        <v>32</v>
      </c>
      <c r="W7" s="1" t="s">
        <v>88</v>
      </c>
      <c r="X7" s="1" t="s">
        <v>89</v>
      </c>
    </row>
    <row r="8" spans="1:24" ht="288" x14ac:dyDescent="0.3">
      <c r="A8" s="2">
        <v>170000</v>
      </c>
      <c r="B8" s="1">
        <v>1</v>
      </c>
      <c r="C8" s="1" t="s">
        <v>79</v>
      </c>
      <c r="D8" s="1" t="s">
        <v>90</v>
      </c>
      <c r="E8" s="3" t="s">
        <v>91</v>
      </c>
      <c r="F8" s="3" t="s">
        <v>92</v>
      </c>
      <c r="G8" s="3" t="s">
        <v>93</v>
      </c>
      <c r="H8" s="3" t="s">
        <v>94</v>
      </c>
      <c r="I8" s="3" t="s">
        <v>94</v>
      </c>
      <c r="J8" s="1" t="s">
        <v>30</v>
      </c>
      <c r="K8" s="1">
        <v>10</v>
      </c>
      <c r="L8" s="3" t="s">
        <v>95</v>
      </c>
      <c r="M8" s="1" t="s">
        <v>32</v>
      </c>
      <c r="N8" s="2">
        <v>650000</v>
      </c>
      <c r="O8" s="1" t="s">
        <v>44</v>
      </c>
      <c r="P8" s="3" t="s">
        <v>96</v>
      </c>
      <c r="Q8" s="1" t="s">
        <v>97</v>
      </c>
      <c r="R8" s="2">
        <v>369469</v>
      </c>
      <c r="S8" s="1" t="s">
        <v>32</v>
      </c>
      <c r="T8" s="1" t="s">
        <v>32</v>
      </c>
      <c r="U8" s="1" t="s">
        <v>32</v>
      </c>
      <c r="V8" s="1" t="s">
        <v>32</v>
      </c>
      <c r="W8" s="1" t="s">
        <v>98</v>
      </c>
      <c r="X8" s="1" t="s">
        <v>99</v>
      </c>
    </row>
    <row r="9" spans="1:24" ht="259.2" x14ac:dyDescent="0.3">
      <c r="B9" s="1">
        <v>1</v>
      </c>
      <c r="C9" s="1" t="s">
        <v>79</v>
      </c>
      <c r="D9" s="1" t="s">
        <v>100</v>
      </c>
      <c r="E9" s="3" t="s">
        <v>101</v>
      </c>
      <c r="F9" s="3" t="s">
        <v>102</v>
      </c>
      <c r="G9" s="3" t="s">
        <v>103</v>
      </c>
      <c r="H9" s="3" t="s">
        <v>104</v>
      </c>
      <c r="I9" s="3" t="s">
        <v>104</v>
      </c>
      <c r="J9" s="1" t="s">
        <v>42</v>
      </c>
      <c r="K9" s="1">
        <v>7</v>
      </c>
      <c r="L9" s="3" t="s">
        <v>105</v>
      </c>
      <c r="M9" s="1" t="s">
        <v>32</v>
      </c>
      <c r="N9" s="2">
        <v>850000</v>
      </c>
      <c r="O9" s="1" t="s">
        <v>33</v>
      </c>
      <c r="Q9" s="1" t="s">
        <v>106</v>
      </c>
      <c r="R9" s="2">
        <v>625933</v>
      </c>
      <c r="S9" s="1" t="s">
        <v>32</v>
      </c>
      <c r="T9" s="1" t="s">
        <v>32</v>
      </c>
      <c r="U9" s="1" t="s">
        <v>32</v>
      </c>
      <c r="V9" s="1" t="s">
        <v>32</v>
      </c>
      <c r="W9" s="1" t="s">
        <v>107</v>
      </c>
      <c r="X9" s="1" t="s">
        <v>108</v>
      </c>
    </row>
    <row r="10" spans="1:24" ht="409.6" x14ac:dyDescent="0.3">
      <c r="A10" s="2">
        <v>210000</v>
      </c>
      <c r="B10" s="1">
        <v>1</v>
      </c>
      <c r="C10" s="1" t="s">
        <v>109</v>
      </c>
      <c r="D10" s="1" t="s">
        <v>110</v>
      </c>
      <c r="E10" s="3" t="s">
        <v>111</v>
      </c>
      <c r="F10" s="3" t="s">
        <v>112</v>
      </c>
      <c r="G10" s="3" t="s">
        <v>113</v>
      </c>
      <c r="H10" s="1" t="s">
        <v>114</v>
      </c>
      <c r="I10" s="1" t="s">
        <v>114</v>
      </c>
      <c r="J10" s="1" t="s">
        <v>30</v>
      </c>
      <c r="K10" s="1">
        <v>10</v>
      </c>
      <c r="L10" s="3" t="s">
        <v>115</v>
      </c>
      <c r="M10" s="1" t="s">
        <v>32</v>
      </c>
      <c r="N10" s="2">
        <v>500000</v>
      </c>
      <c r="O10" s="1" t="s">
        <v>44</v>
      </c>
      <c r="P10" s="3" t="s">
        <v>116</v>
      </c>
      <c r="Q10" s="1" t="s">
        <v>117</v>
      </c>
      <c r="R10" s="2">
        <v>546258</v>
      </c>
      <c r="S10" s="1" t="s">
        <v>32</v>
      </c>
      <c r="T10" s="1" t="s">
        <v>32</v>
      </c>
      <c r="U10" s="1" t="s">
        <v>32</v>
      </c>
      <c r="V10" s="1" t="s">
        <v>32</v>
      </c>
      <c r="W10" s="1" t="s">
        <v>118</v>
      </c>
      <c r="X10" s="1" t="s">
        <v>119</v>
      </c>
    </row>
    <row r="11" spans="1:24" ht="374.4" x14ac:dyDescent="0.3">
      <c r="A11" s="2">
        <v>220000</v>
      </c>
      <c r="B11" s="1">
        <v>1</v>
      </c>
      <c r="C11" s="1" t="s">
        <v>109</v>
      </c>
      <c r="D11" s="1" t="s">
        <v>120</v>
      </c>
      <c r="E11" s="3" t="s">
        <v>121</v>
      </c>
      <c r="F11" s="3" t="s">
        <v>122</v>
      </c>
      <c r="G11" s="3" t="s">
        <v>123</v>
      </c>
      <c r="H11" s="1" t="s">
        <v>124</v>
      </c>
      <c r="I11" s="1" t="s">
        <v>124</v>
      </c>
      <c r="J11" s="1" t="s">
        <v>73</v>
      </c>
      <c r="K11" s="1">
        <v>8</v>
      </c>
      <c r="L11" s="3" t="s">
        <v>125</v>
      </c>
      <c r="M11" s="1" t="s">
        <v>32</v>
      </c>
      <c r="N11" s="2">
        <v>550000</v>
      </c>
      <c r="O11" s="1" t="s">
        <v>44</v>
      </c>
      <c r="P11" s="3" t="s">
        <v>126</v>
      </c>
      <c r="Q11" s="1" t="s">
        <v>127</v>
      </c>
      <c r="R11" s="2">
        <v>410432</v>
      </c>
      <c r="S11" s="1" t="s">
        <v>32</v>
      </c>
      <c r="T11" s="1" t="s">
        <v>32</v>
      </c>
      <c r="U11" s="1" t="s">
        <v>32</v>
      </c>
      <c r="V11" s="1" t="s">
        <v>32</v>
      </c>
      <c r="W11" s="1" t="s">
        <v>128</v>
      </c>
      <c r="X11" s="1" t="s">
        <v>129</v>
      </c>
    </row>
    <row r="12" spans="1:24" ht="331.2" x14ac:dyDescent="0.3">
      <c r="A12" s="2">
        <v>230000</v>
      </c>
      <c r="B12" s="1">
        <v>1</v>
      </c>
      <c r="C12" s="1" t="s">
        <v>130</v>
      </c>
      <c r="D12" s="1" t="s">
        <v>131</v>
      </c>
      <c r="E12" s="3" t="s">
        <v>132</v>
      </c>
      <c r="F12" s="3" t="s">
        <v>133</v>
      </c>
      <c r="G12" s="3" t="s">
        <v>134</v>
      </c>
      <c r="H12" s="1" t="s">
        <v>135</v>
      </c>
      <c r="I12" s="1" t="s">
        <v>135</v>
      </c>
      <c r="J12" s="1" t="s">
        <v>30</v>
      </c>
      <c r="K12" s="1">
        <v>10</v>
      </c>
      <c r="L12" s="3" t="s">
        <v>136</v>
      </c>
      <c r="M12" s="1" t="s">
        <v>32</v>
      </c>
      <c r="N12" s="2">
        <v>500000</v>
      </c>
      <c r="O12" s="1" t="s">
        <v>44</v>
      </c>
      <c r="P12" s="3" t="s">
        <v>137</v>
      </c>
      <c r="Q12" s="1" t="s">
        <v>138</v>
      </c>
      <c r="R12" s="2">
        <v>433900</v>
      </c>
      <c r="S12" s="1" t="s">
        <v>32</v>
      </c>
      <c r="T12" s="1" t="s">
        <v>32</v>
      </c>
      <c r="U12" s="1" t="s">
        <v>32</v>
      </c>
      <c r="V12" s="1" t="s">
        <v>32</v>
      </c>
      <c r="W12" s="1" t="s">
        <v>139</v>
      </c>
      <c r="X12" s="1" t="s">
        <v>140</v>
      </c>
    </row>
    <row r="13" spans="1:24" ht="374.4" x14ac:dyDescent="0.3">
      <c r="A13" s="2">
        <v>250000</v>
      </c>
      <c r="B13" s="1">
        <v>1</v>
      </c>
      <c r="C13" s="1" t="s">
        <v>130</v>
      </c>
      <c r="D13" s="1" t="s">
        <v>141</v>
      </c>
      <c r="E13" s="3" t="s">
        <v>142</v>
      </c>
      <c r="F13" s="3" t="s">
        <v>143</v>
      </c>
      <c r="G13" s="3" t="s">
        <v>144</v>
      </c>
      <c r="H13" s="1" t="s">
        <v>145</v>
      </c>
      <c r="I13" s="1" t="s">
        <v>145</v>
      </c>
      <c r="J13" s="1" t="s">
        <v>30</v>
      </c>
      <c r="K13" s="1">
        <v>10</v>
      </c>
      <c r="L13" s="3" t="s">
        <v>146</v>
      </c>
      <c r="M13" s="1" t="s">
        <v>32</v>
      </c>
      <c r="N13" s="2">
        <v>750000</v>
      </c>
      <c r="O13" s="1" t="s">
        <v>44</v>
      </c>
      <c r="P13" s="3" t="s">
        <v>147</v>
      </c>
      <c r="Q13" s="1" t="s">
        <v>148</v>
      </c>
      <c r="R13" s="2">
        <v>585803</v>
      </c>
      <c r="S13" s="1" t="s">
        <v>32</v>
      </c>
      <c r="T13" s="1" t="s">
        <v>32</v>
      </c>
      <c r="U13" s="1" t="s">
        <v>32</v>
      </c>
      <c r="V13" s="1" t="s">
        <v>32</v>
      </c>
      <c r="W13" s="1" t="s">
        <v>149</v>
      </c>
      <c r="X13" s="1" t="s">
        <v>150</v>
      </c>
    </row>
    <row r="14" spans="1:24" ht="288" x14ac:dyDescent="0.3">
      <c r="A14" s="2">
        <v>260000</v>
      </c>
      <c r="B14" s="1">
        <v>1</v>
      </c>
      <c r="C14" s="1" t="s">
        <v>151</v>
      </c>
      <c r="D14" s="1" t="s">
        <v>152</v>
      </c>
      <c r="E14" s="3" t="s">
        <v>153</v>
      </c>
      <c r="F14" s="3" t="s">
        <v>154</v>
      </c>
      <c r="G14" s="3" t="s">
        <v>155</v>
      </c>
      <c r="H14" s="3" t="s">
        <v>156</v>
      </c>
      <c r="I14" s="3" t="s">
        <v>156</v>
      </c>
      <c r="J14" s="1" t="s">
        <v>42</v>
      </c>
      <c r="K14" s="1">
        <v>7</v>
      </c>
      <c r="L14" s="3" t="s">
        <v>157</v>
      </c>
      <c r="M14" s="1" t="s">
        <v>32</v>
      </c>
      <c r="N14" s="2">
        <v>850000</v>
      </c>
      <c r="O14" s="1" t="s">
        <v>33</v>
      </c>
      <c r="Q14" s="1" t="s">
        <v>158</v>
      </c>
      <c r="R14" s="2">
        <v>474302</v>
      </c>
      <c r="S14" s="1" t="s">
        <v>32</v>
      </c>
      <c r="T14" s="1" t="s">
        <v>32</v>
      </c>
      <c r="U14" s="1" t="s">
        <v>32</v>
      </c>
      <c r="V14" s="1" t="s">
        <v>32</v>
      </c>
      <c r="W14" s="1" t="s">
        <v>159</v>
      </c>
      <c r="X14" s="1" t="s">
        <v>160</v>
      </c>
    </row>
    <row r="15" spans="1:24" ht="273.60000000000002" x14ac:dyDescent="0.3">
      <c r="A15" s="2">
        <v>270000</v>
      </c>
      <c r="B15" s="1">
        <v>1</v>
      </c>
      <c r="C15" s="1" t="s">
        <v>151</v>
      </c>
      <c r="D15" s="1" t="s">
        <v>161</v>
      </c>
      <c r="E15" s="3" t="s">
        <v>162</v>
      </c>
      <c r="F15" s="3" t="s">
        <v>163</v>
      </c>
      <c r="G15" s="3" t="s">
        <v>164</v>
      </c>
      <c r="H15" s="1" t="s">
        <v>165</v>
      </c>
      <c r="I15" s="1" t="s">
        <v>165</v>
      </c>
      <c r="J15" s="1" t="s">
        <v>73</v>
      </c>
      <c r="K15" s="1">
        <v>7</v>
      </c>
      <c r="L15" s="3" t="s">
        <v>166</v>
      </c>
      <c r="M15" s="1" t="s">
        <v>32</v>
      </c>
      <c r="N15" s="2">
        <v>500000</v>
      </c>
      <c r="O15" s="1" t="s">
        <v>44</v>
      </c>
      <c r="P15" s="3" t="s">
        <v>167</v>
      </c>
      <c r="Q15" s="1" t="s">
        <v>168</v>
      </c>
      <c r="R15" s="2">
        <v>365208</v>
      </c>
      <c r="S15" s="1" t="s">
        <v>32</v>
      </c>
      <c r="T15" s="1" t="s">
        <v>32</v>
      </c>
      <c r="U15" s="1" t="s">
        <v>32</v>
      </c>
      <c r="V15" s="1" t="s">
        <v>32</v>
      </c>
      <c r="W15" s="1" t="s">
        <v>169</v>
      </c>
      <c r="X15" s="1" t="s">
        <v>170</v>
      </c>
    </row>
    <row r="16" spans="1:24" ht="360" x14ac:dyDescent="0.3">
      <c r="A16" s="2">
        <v>280000</v>
      </c>
      <c r="B16" s="1">
        <v>1</v>
      </c>
      <c r="C16" s="1" t="s">
        <v>151</v>
      </c>
      <c r="D16" s="1" t="s">
        <v>171</v>
      </c>
      <c r="E16" s="3" t="s">
        <v>172</v>
      </c>
      <c r="F16" s="3" t="s">
        <v>173</v>
      </c>
      <c r="G16" s="3" t="s">
        <v>174</v>
      </c>
      <c r="H16" s="1" t="s">
        <v>175</v>
      </c>
      <c r="I16" s="1" t="s">
        <v>175</v>
      </c>
      <c r="J16" s="1" t="s">
        <v>42</v>
      </c>
      <c r="K16" s="1">
        <v>9</v>
      </c>
      <c r="L16" s="3" t="s">
        <v>176</v>
      </c>
      <c r="M16" s="1" t="s">
        <v>32</v>
      </c>
      <c r="N16" s="2">
        <v>600000</v>
      </c>
      <c r="O16" s="1" t="s">
        <v>44</v>
      </c>
      <c r="P16" s="3" t="s">
        <v>177</v>
      </c>
      <c r="Q16" s="1" t="s">
        <v>178</v>
      </c>
      <c r="R16" s="2">
        <v>545004</v>
      </c>
      <c r="S16" s="1" t="s">
        <v>32</v>
      </c>
      <c r="T16" s="1" t="s">
        <v>32</v>
      </c>
      <c r="U16" s="1" t="s">
        <v>32</v>
      </c>
      <c r="V16" s="1" t="s">
        <v>32</v>
      </c>
      <c r="W16" s="1" t="s">
        <v>179</v>
      </c>
      <c r="X16" s="1" t="s">
        <v>180</v>
      </c>
    </row>
    <row r="17" spans="1:24" ht="409.6" x14ac:dyDescent="0.3">
      <c r="A17" s="2">
        <v>300000</v>
      </c>
      <c r="B17" s="1">
        <v>1</v>
      </c>
      <c r="C17" s="1" t="s">
        <v>151</v>
      </c>
      <c r="D17" s="1" t="s">
        <v>181</v>
      </c>
      <c r="E17" s="3" t="s">
        <v>182</v>
      </c>
      <c r="F17" s="3" t="s">
        <v>183</v>
      </c>
      <c r="G17" s="3" t="s">
        <v>184</v>
      </c>
      <c r="H17" s="1" t="s">
        <v>185</v>
      </c>
      <c r="I17" s="1" t="s">
        <v>185</v>
      </c>
      <c r="J17" s="1" t="s">
        <v>42</v>
      </c>
      <c r="K17" s="1">
        <v>6</v>
      </c>
      <c r="L17" s="3" t="s">
        <v>186</v>
      </c>
      <c r="M17" s="1" t="s">
        <v>32</v>
      </c>
      <c r="N17" s="2">
        <v>800000</v>
      </c>
      <c r="O17" s="1" t="s">
        <v>33</v>
      </c>
      <c r="Q17" s="3" t="s">
        <v>187</v>
      </c>
      <c r="R17" s="2">
        <v>587794</v>
      </c>
      <c r="S17" s="1" t="s">
        <v>32</v>
      </c>
      <c r="T17" s="1" t="s">
        <v>32</v>
      </c>
      <c r="U17" s="1" t="s">
        <v>32</v>
      </c>
      <c r="V17" s="1" t="s">
        <v>32</v>
      </c>
      <c r="W17" s="1" t="s">
        <v>188</v>
      </c>
      <c r="X17" s="3" t="s">
        <v>189</v>
      </c>
    </row>
    <row r="18" spans="1:24" ht="374.4" x14ac:dyDescent="0.3">
      <c r="A18" s="2">
        <v>320000</v>
      </c>
      <c r="B18" s="1">
        <v>1</v>
      </c>
      <c r="C18" s="1" t="s">
        <v>190</v>
      </c>
      <c r="D18" s="1" t="s">
        <v>191</v>
      </c>
      <c r="E18" s="3" t="s">
        <v>192</v>
      </c>
      <c r="F18" s="3" t="s">
        <v>193</v>
      </c>
      <c r="G18" s="3" t="s">
        <v>194</v>
      </c>
      <c r="H18" s="3" t="s">
        <v>195</v>
      </c>
      <c r="I18" s="3" t="s">
        <v>195</v>
      </c>
      <c r="J18" s="1" t="s">
        <v>42</v>
      </c>
      <c r="K18" s="1">
        <v>7</v>
      </c>
      <c r="L18" s="3" t="s">
        <v>196</v>
      </c>
      <c r="M18" s="1" t="s">
        <v>32</v>
      </c>
      <c r="N18" s="2">
        <v>600000</v>
      </c>
      <c r="O18" s="1" t="s">
        <v>44</v>
      </c>
      <c r="P18" s="3" t="s">
        <v>197</v>
      </c>
      <c r="Q18" s="1" t="s">
        <v>198</v>
      </c>
      <c r="R18" s="2">
        <v>434016</v>
      </c>
      <c r="S18" s="1" t="s">
        <v>32</v>
      </c>
      <c r="T18" s="1" t="s">
        <v>32</v>
      </c>
      <c r="U18" s="1" t="s">
        <v>32</v>
      </c>
      <c r="V18" s="1" t="s">
        <v>32</v>
      </c>
      <c r="W18" s="1" t="s">
        <v>199</v>
      </c>
      <c r="X18" s="1" t="s">
        <v>200</v>
      </c>
    </row>
    <row r="19" spans="1:24" ht="273.60000000000002" x14ac:dyDescent="0.3">
      <c r="A19" s="2">
        <v>340000</v>
      </c>
      <c r="B19" s="1">
        <v>1</v>
      </c>
      <c r="C19" s="1" t="s">
        <v>190</v>
      </c>
      <c r="D19" s="1" t="s">
        <v>201</v>
      </c>
      <c r="E19" s="3" t="s">
        <v>202</v>
      </c>
      <c r="F19" s="3" t="s">
        <v>203</v>
      </c>
      <c r="G19" s="3" t="s">
        <v>204</v>
      </c>
      <c r="H19" s="1" t="s">
        <v>114</v>
      </c>
      <c r="I19" s="1" t="s">
        <v>114</v>
      </c>
      <c r="J19" s="1" t="s">
        <v>42</v>
      </c>
      <c r="K19" s="1">
        <v>5</v>
      </c>
      <c r="L19" s="3" t="s">
        <v>205</v>
      </c>
      <c r="M19" s="1" t="s">
        <v>32</v>
      </c>
      <c r="N19" s="2">
        <v>500000</v>
      </c>
      <c r="O19" s="1" t="s">
        <v>44</v>
      </c>
      <c r="P19" s="3" t="s">
        <v>206</v>
      </c>
      <c r="Q19" s="1" t="s">
        <v>207</v>
      </c>
      <c r="R19" s="2">
        <v>571746</v>
      </c>
      <c r="S19" s="2">
        <v>200000</v>
      </c>
      <c r="T19" s="2">
        <v>400000</v>
      </c>
      <c r="U19" s="2">
        <v>300000</v>
      </c>
      <c r="V19" s="2">
        <v>800000</v>
      </c>
      <c r="W19" s="1" t="s">
        <v>208</v>
      </c>
      <c r="X19" s="1" t="s">
        <v>209</v>
      </c>
    </row>
    <row r="20" spans="1:24" ht="409.6" x14ac:dyDescent="0.3">
      <c r="A20" s="2">
        <v>360000</v>
      </c>
      <c r="B20" s="1">
        <v>1</v>
      </c>
      <c r="C20" s="1" t="s">
        <v>190</v>
      </c>
      <c r="D20" s="1" t="s">
        <v>210</v>
      </c>
      <c r="E20" s="3" t="s">
        <v>211</v>
      </c>
      <c r="F20" s="3" t="s">
        <v>212</v>
      </c>
      <c r="G20" s="3" t="s">
        <v>213</v>
      </c>
      <c r="H20" s="3" t="s">
        <v>214</v>
      </c>
      <c r="I20" s="3" t="s">
        <v>214</v>
      </c>
      <c r="J20" s="1" t="s">
        <v>73</v>
      </c>
      <c r="K20" s="1">
        <v>7</v>
      </c>
      <c r="L20" s="3" t="s">
        <v>215</v>
      </c>
      <c r="M20" s="1" t="s">
        <v>32</v>
      </c>
      <c r="N20" s="2">
        <v>350000</v>
      </c>
      <c r="O20" s="1" t="s">
        <v>44</v>
      </c>
      <c r="P20" s="3" t="s">
        <v>216</v>
      </c>
      <c r="Q20" s="1" t="s">
        <v>217</v>
      </c>
      <c r="R20" s="2">
        <v>633326</v>
      </c>
      <c r="S20" s="1" t="s">
        <v>32</v>
      </c>
      <c r="T20" s="1" t="s">
        <v>32</v>
      </c>
      <c r="U20" s="1" t="s">
        <v>32</v>
      </c>
      <c r="V20" s="1" t="s">
        <v>32</v>
      </c>
      <c r="W20" s="1" t="s">
        <v>218</v>
      </c>
      <c r="X20" s="1" t="s">
        <v>219</v>
      </c>
    </row>
    <row r="21" spans="1:24" ht="244.8" x14ac:dyDescent="0.3">
      <c r="A21" s="2">
        <v>380000</v>
      </c>
      <c r="B21" s="1">
        <v>1</v>
      </c>
      <c r="C21" s="1" t="s">
        <v>190</v>
      </c>
      <c r="D21" s="1" t="s">
        <v>220</v>
      </c>
      <c r="E21" s="3" t="s">
        <v>221</v>
      </c>
      <c r="G21" s="3" t="s">
        <v>222</v>
      </c>
      <c r="H21" s="1" t="s">
        <v>223</v>
      </c>
      <c r="I21" s="1" t="s">
        <v>223</v>
      </c>
      <c r="J21" s="1" t="s">
        <v>42</v>
      </c>
      <c r="K21" s="1">
        <v>5</v>
      </c>
      <c r="L21" s="3" t="s">
        <v>224</v>
      </c>
      <c r="M21" s="1" t="s">
        <v>32</v>
      </c>
      <c r="N21" s="2">
        <v>500000</v>
      </c>
      <c r="O21" s="1" t="s">
        <v>44</v>
      </c>
      <c r="P21" s="3" t="s">
        <v>225</v>
      </c>
      <c r="Q21" s="1" t="s">
        <v>226</v>
      </c>
      <c r="R21" s="2">
        <v>596208</v>
      </c>
      <c r="S21" s="1" t="s">
        <v>32</v>
      </c>
      <c r="T21" s="1" t="s">
        <v>32</v>
      </c>
      <c r="U21" s="1" t="s">
        <v>32</v>
      </c>
      <c r="V21" s="1" t="s">
        <v>32</v>
      </c>
      <c r="W21" s="1" t="s">
        <v>227</v>
      </c>
      <c r="X21" s="1" t="s">
        <v>228</v>
      </c>
    </row>
    <row r="22" spans="1:24" ht="244.8" x14ac:dyDescent="0.3">
      <c r="A22" s="2">
        <v>400000</v>
      </c>
      <c r="B22" s="1">
        <v>1</v>
      </c>
      <c r="C22" s="1" t="s">
        <v>229</v>
      </c>
      <c r="D22" s="1" t="s">
        <v>230</v>
      </c>
      <c r="E22" s="3" t="s">
        <v>231</v>
      </c>
      <c r="F22" s="3" t="s">
        <v>232</v>
      </c>
      <c r="G22" s="3" t="s">
        <v>233</v>
      </c>
      <c r="H22" s="1" t="s">
        <v>234</v>
      </c>
      <c r="I22" s="1" t="s">
        <v>234</v>
      </c>
      <c r="J22" s="1" t="s">
        <v>73</v>
      </c>
      <c r="K22" s="1">
        <v>7</v>
      </c>
      <c r="L22" s="3" t="s">
        <v>235</v>
      </c>
      <c r="M22" s="1" t="s">
        <v>32</v>
      </c>
      <c r="N22" s="2">
        <v>700000</v>
      </c>
      <c r="Q22" s="1" t="s">
        <v>236</v>
      </c>
      <c r="R22" s="2">
        <v>578451</v>
      </c>
      <c r="S22" s="1" t="s">
        <v>32</v>
      </c>
      <c r="T22" s="1" t="s">
        <v>32</v>
      </c>
      <c r="U22" s="1" t="s">
        <v>32</v>
      </c>
      <c r="V22" s="1" t="s">
        <v>32</v>
      </c>
      <c r="W22" s="1" t="s">
        <v>237</v>
      </c>
      <c r="X22" s="1" t="s">
        <v>238</v>
      </c>
    </row>
    <row r="23" spans="1:24" ht="230.4" x14ac:dyDescent="0.3">
      <c r="A23" s="2">
        <v>410000</v>
      </c>
      <c r="B23" s="1">
        <v>1</v>
      </c>
      <c r="C23" s="1" t="s">
        <v>229</v>
      </c>
      <c r="D23" s="1" t="s">
        <v>239</v>
      </c>
      <c r="E23" s="3" t="s">
        <v>240</v>
      </c>
      <c r="F23" s="3" t="s">
        <v>241</v>
      </c>
      <c r="G23" s="3" t="s">
        <v>242</v>
      </c>
      <c r="H23" s="1" t="s">
        <v>114</v>
      </c>
      <c r="I23" s="1" t="s">
        <v>114</v>
      </c>
      <c r="J23" s="1" t="s">
        <v>42</v>
      </c>
      <c r="K23" s="1">
        <v>7</v>
      </c>
      <c r="L23" s="3" t="s">
        <v>243</v>
      </c>
      <c r="M23" s="1" t="s">
        <v>32</v>
      </c>
      <c r="N23" s="2">
        <v>700000</v>
      </c>
      <c r="Q23" s="1" t="s">
        <v>244</v>
      </c>
      <c r="R23" s="2">
        <v>606668</v>
      </c>
      <c r="S23" s="1" t="s">
        <v>32</v>
      </c>
      <c r="T23" s="1" t="s">
        <v>32</v>
      </c>
      <c r="U23" s="1" t="s">
        <v>32</v>
      </c>
      <c r="V23" s="1" t="s">
        <v>32</v>
      </c>
      <c r="W23" s="1" t="s">
        <v>245</v>
      </c>
      <c r="X23" s="1" t="s">
        <v>246</v>
      </c>
    </row>
    <row r="24" spans="1:24" ht="172.8" x14ac:dyDescent="0.3">
      <c r="A24" s="2">
        <v>450000</v>
      </c>
      <c r="B24" s="1">
        <v>1</v>
      </c>
      <c r="C24" s="1" t="s">
        <v>229</v>
      </c>
      <c r="D24" s="1" t="s">
        <v>247</v>
      </c>
      <c r="E24" s="3" t="s">
        <v>248</v>
      </c>
      <c r="F24" s="3" t="s">
        <v>249</v>
      </c>
      <c r="G24" s="3" t="s">
        <v>250</v>
      </c>
      <c r="H24" s="1" t="s">
        <v>114</v>
      </c>
      <c r="I24" s="1" t="s">
        <v>114</v>
      </c>
      <c r="J24" s="1" t="s">
        <v>42</v>
      </c>
      <c r="K24" s="1">
        <v>5</v>
      </c>
      <c r="L24" s="3" t="s">
        <v>251</v>
      </c>
      <c r="M24" s="1" t="s">
        <v>32</v>
      </c>
      <c r="N24" s="2">
        <v>500000</v>
      </c>
      <c r="Q24" s="1" t="s">
        <v>252</v>
      </c>
      <c r="R24" s="2">
        <v>631141</v>
      </c>
      <c r="S24" s="1" t="s">
        <v>32</v>
      </c>
      <c r="T24" s="1" t="s">
        <v>32</v>
      </c>
      <c r="U24" s="1" t="s">
        <v>32</v>
      </c>
      <c r="V24" s="1" t="s">
        <v>32</v>
      </c>
      <c r="W24" s="1" t="s">
        <v>253</v>
      </c>
      <c r="X24" s="1" t="s">
        <v>254</v>
      </c>
    </row>
    <row r="25" spans="1:24" ht="288" x14ac:dyDescent="0.3">
      <c r="A25" s="2">
        <v>480000</v>
      </c>
      <c r="B25" s="1">
        <v>1</v>
      </c>
      <c r="C25" s="1" t="s">
        <v>255</v>
      </c>
      <c r="D25" s="1" t="s">
        <v>256</v>
      </c>
      <c r="E25" s="3" t="s">
        <v>257</v>
      </c>
      <c r="F25" s="3" t="s">
        <v>258</v>
      </c>
      <c r="G25" s="3" t="s">
        <v>259</v>
      </c>
      <c r="H25" s="1" t="s">
        <v>260</v>
      </c>
      <c r="I25" s="1" t="s">
        <v>260</v>
      </c>
      <c r="J25" s="1" t="s">
        <v>73</v>
      </c>
      <c r="K25" s="1">
        <v>7</v>
      </c>
      <c r="L25" s="3" t="s">
        <v>261</v>
      </c>
      <c r="M25" s="1" t="s">
        <v>32</v>
      </c>
      <c r="N25" s="2">
        <v>700000</v>
      </c>
      <c r="Q25" s="1" t="s">
        <v>262</v>
      </c>
      <c r="R25" s="2">
        <v>491966</v>
      </c>
      <c r="S25" s="1" t="s">
        <v>32</v>
      </c>
      <c r="T25" s="1" t="s">
        <v>32</v>
      </c>
      <c r="U25" s="1" t="s">
        <v>32</v>
      </c>
      <c r="V25" s="1" t="s">
        <v>32</v>
      </c>
      <c r="W25" s="1" t="s">
        <v>263</v>
      </c>
      <c r="X25" s="1" t="s">
        <v>264</v>
      </c>
    </row>
    <row r="26" spans="1:24" ht="316.8" x14ac:dyDescent="0.3">
      <c r="A26" s="2">
        <v>500000</v>
      </c>
      <c r="B26" s="1">
        <v>1</v>
      </c>
      <c r="C26" s="1" t="s">
        <v>265</v>
      </c>
      <c r="D26" s="1" t="s">
        <v>266</v>
      </c>
      <c r="E26" s="3" t="s">
        <v>267</v>
      </c>
      <c r="F26" s="3" t="s">
        <v>268</v>
      </c>
      <c r="G26" s="3" t="s">
        <v>269</v>
      </c>
      <c r="H26" s="1" t="s">
        <v>114</v>
      </c>
      <c r="I26" s="1" t="s">
        <v>114</v>
      </c>
      <c r="J26" s="1" t="s">
        <v>30</v>
      </c>
      <c r="K26" s="1">
        <v>10</v>
      </c>
      <c r="L26" s="3" t="s">
        <v>270</v>
      </c>
      <c r="M26" s="1" t="s">
        <v>32</v>
      </c>
      <c r="N26" s="2">
        <v>1000000</v>
      </c>
      <c r="Q26" s="1" t="s">
        <v>271</v>
      </c>
      <c r="R26" s="2">
        <v>476330</v>
      </c>
      <c r="S26" s="1" t="s">
        <v>32</v>
      </c>
      <c r="T26" s="1" t="s">
        <v>32</v>
      </c>
      <c r="U26" s="1" t="s">
        <v>32</v>
      </c>
      <c r="V26" s="1" t="s">
        <v>32</v>
      </c>
      <c r="W26" s="1" t="s">
        <v>272</v>
      </c>
      <c r="X26" s="1" t="s">
        <v>273</v>
      </c>
    </row>
    <row r="27" spans="1:24" ht="409.6" x14ac:dyDescent="0.3">
      <c r="A27" s="2">
        <v>560000</v>
      </c>
      <c r="B27" s="1">
        <v>1</v>
      </c>
      <c r="C27" s="1" t="s">
        <v>274</v>
      </c>
      <c r="D27" s="1" t="s">
        <v>275</v>
      </c>
      <c r="E27" s="3" t="s">
        <v>276</v>
      </c>
      <c r="F27" s="3" t="s">
        <v>277</v>
      </c>
      <c r="G27" s="3" t="s">
        <v>278</v>
      </c>
      <c r="H27" s="1" t="s">
        <v>279</v>
      </c>
      <c r="I27" s="1" t="s">
        <v>279</v>
      </c>
      <c r="J27" s="1" t="s">
        <v>30</v>
      </c>
      <c r="K27" s="1">
        <v>10</v>
      </c>
      <c r="L27" s="3" t="s">
        <v>280</v>
      </c>
      <c r="M27" s="1" t="s">
        <v>32</v>
      </c>
      <c r="N27" s="2">
        <v>1000000</v>
      </c>
      <c r="Q27" s="1" t="s">
        <v>281</v>
      </c>
      <c r="R27" s="2">
        <v>587980</v>
      </c>
      <c r="S27" s="1" t="s">
        <v>32</v>
      </c>
      <c r="T27" s="1" t="s">
        <v>32</v>
      </c>
      <c r="U27" s="1" t="s">
        <v>32</v>
      </c>
      <c r="V27" s="1" t="s">
        <v>32</v>
      </c>
      <c r="W27" s="1" t="s">
        <v>282</v>
      </c>
      <c r="X27" s="1" t="s">
        <v>283</v>
      </c>
    </row>
    <row r="28" spans="1:24" ht="302.39999999999998" x14ac:dyDescent="0.3">
      <c r="A28" s="2">
        <v>570000</v>
      </c>
      <c r="B28" s="1">
        <v>1</v>
      </c>
      <c r="C28" s="1" t="s">
        <v>274</v>
      </c>
      <c r="D28" s="1" t="s">
        <v>284</v>
      </c>
      <c r="E28" s="3" t="s">
        <v>285</v>
      </c>
      <c r="F28" s="3" t="s">
        <v>286</v>
      </c>
      <c r="G28" s="3" t="s">
        <v>287</v>
      </c>
      <c r="H28" s="1" t="s">
        <v>114</v>
      </c>
      <c r="I28" s="1" t="s">
        <v>114</v>
      </c>
      <c r="J28" s="1" t="s">
        <v>30</v>
      </c>
      <c r="K28" s="1">
        <v>10</v>
      </c>
      <c r="L28" s="3" t="s">
        <v>288</v>
      </c>
      <c r="M28" s="1" t="s">
        <v>32</v>
      </c>
      <c r="N28" s="2">
        <v>1000000</v>
      </c>
      <c r="Q28" s="1" t="s">
        <v>289</v>
      </c>
      <c r="R28" s="2">
        <v>476128</v>
      </c>
      <c r="S28" s="1" t="s">
        <v>32</v>
      </c>
      <c r="T28" s="1" t="s">
        <v>32</v>
      </c>
      <c r="U28" s="1" t="s">
        <v>32</v>
      </c>
      <c r="V28" s="1" t="s">
        <v>32</v>
      </c>
      <c r="W28" s="1" t="s">
        <v>290</v>
      </c>
      <c r="X28" s="1" t="s">
        <v>291</v>
      </c>
    </row>
    <row r="29" spans="1:24" ht="273.60000000000002" x14ac:dyDescent="0.3">
      <c r="A29" s="2">
        <v>580000</v>
      </c>
      <c r="B29" s="1">
        <v>1</v>
      </c>
      <c r="C29" s="1" t="s">
        <v>274</v>
      </c>
      <c r="D29" s="1" t="s">
        <v>292</v>
      </c>
      <c r="E29" s="3" t="s">
        <v>293</v>
      </c>
      <c r="F29" s="3" t="s">
        <v>294</v>
      </c>
      <c r="G29" s="3" t="s">
        <v>295</v>
      </c>
      <c r="H29" s="1" t="s">
        <v>296</v>
      </c>
      <c r="I29" s="1" t="s">
        <v>296</v>
      </c>
      <c r="J29" s="1" t="s">
        <v>73</v>
      </c>
      <c r="K29" s="1">
        <v>7</v>
      </c>
      <c r="L29" s="3" t="s">
        <v>297</v>
      </c>
      <c r="M29" s="1" t="s">
        <v>32</v>
      </c>
      <c r="N29" s="2">
        <v>700000</v>
      </c>
      <c r="Q29" s="1" t="s">
        <v>289</v>
      </c>
      <c r="R29" s="2">
        <v>447703</v>
      </c>
      <c r="S29" s="1" t="s">
        <v>32</v>
      </c>
      <c r="T29" s="1" t="s">
        <v>32</v>
      </c>
      <c r="U29" s="1" t="s">
        <v>32</v>
      </c>
      <c r="V29" s="1" t="s">
        <v>32</v>
      </c>
      <c r="W29" s="1" t="s">
        <v>298</v>
      </c>
      <c r="X29" s="1" t="s">
        <v>291</v>
      </c>
    </row>
    <row r="30" spans="1:24" ht="409.6" x14ac:dyDescent="0.3">
      <c r="A30" s="2">
        <v>600000</v>
      </c>
      <c r="B30" s="1">
        <v>1</v>
      </c>
      <c r="C30" s="1" t="s">
        <v>274</v>
      </c>
      <c r="D30" s="1" t="s">
        <v>299</v>
      </c>
      <c r="E30" s="3" t="s">
        <v>300</v>
      </c>
      <c r="F30" s="3" t="s">
        <v>301</v>
      </c>
      <c r="G30" s="3" t="s">
        <v>302</v>
      </c>
      <c r="H30" s="1" t="s">
        <v>303</v>
      </c>
      <c r="I30" s="1" t="s">
        <v>303</v>
      </c>
      <c r="J30" s="1" t="s">
        <v>42</v>
      </c>
      <c r="K30" s="1">
        <v>10</v>
      </c>
      <c r="L30" s="3" t="s">
        <v>304</v>
      </c>
      <c r="M30" s="1" t="s">
        <v>32</v>
      </c>
      <c r="N30" s="2">
        <v>1000000</v>
      </c>
      <c r="Q30" s="1" t="s">
        <v>305</v>
      </c>
      <c r="R30" s="2">
        <v>708087</v>
      </c>
      <c r="S30" s="1" t="s">
        <v>32</v>
      </c>
      <c r="T30" s="1" t="s">
        <v>32</v>
      </c>
      <c r="U30" s="1" t="s">
        <v>32</v>
      </c>
      <c r="V30" s="1" t="s">
        <v>32</v>
      </c>
      <c r="W30" s="1" t="s">
        <v>306</v>
      </c>
      <c r="X30" s="1" t="s">
        <v>307</v>
      </c>
    </row>
    <row r="31" spans="1:24" ht="345.6" x14ac:dyDescent="0.3">
      <c r="A31" s="2">
        <v>630000</v>
      </c>
      <c r="B31" s="1">
        <v>1</v>
      </c>
      <c r="C31" s="1" t="s">
        <v>308</v>
      </c>
      <c r="D31" s="1" t="s">
        <v>309</v>
      </c>
      <c r="E31" s="3" t="s">
        <v>310</v>
      </c>
      <c r="F31" s="3" t="s">
        <v>311</v>
      </c>
      <c r="G31" s="3" t="s">
        <v>312</v>
      </c>
      <c r="H31" s="1" t="s">
        <v>313</v>
      </c>
      <c r="I31" s="1" t="s">
        <v>313</v>
      </c>
      <c r="J31" s="1" t="s">
        <v>30</v>
      </c>
      <c r="K31" s="1">
        <v>10</v>
      </c>
      <c r="L31" s="3" t="s">
        <v>314</v>
      </c>
      <c r="M31" s="1" t="s">
        <v>32</v>
      </c>
      <c r="N31" s="2">
        <v>1000000</v>
      </c>
      <c r="Q31" s="1" t="s">
        <v>315</v>
      </c>
      <c r="R31" s="2">
        <v>537817</v>
      </c>
      <c r="S31" s="1" t="s">
        <v>32</v>
      </c>
      <c r="T31" s="1" t="s">
        <v>32</v>
      </c>
      <c r="U31" s="1" t="s">
        <v>32</v>
      </c>
      <c r="V31" s="1" t="s">
        <v>32</v>
      </c>
      <c r="W31" s="1" t="s">
        <v>316</v>
      </c>
      <c r="X31" s="1" t="s">
        <v>317</v>
      </c>
    </row>
    <row r="32" spans="1:24" ht="331.2" x14ac:dyDescent="0.3">
      <c r="A32" s="2">
        <v>650000</v>
      </c>
      <c r="B32" s="1">
        <v>1</v>
      </c>
      <c r="C32" s="1" t="s">
        <v>318</v>
      </c>
      <c r="D32" s="1" t="s">
        <v>319</v>
      </c>
      <c r="E32" s="3" t="s">
        <v>320</v>
      </c>
      <c r="F32" s="3" t="s">
        <v>321</v>
      </c>
      <c r="G32" s="3" t="s">
        <v>322</v>
      </c>
      <c r="H32" s="1" t="s">
        <v>114</v>
      </c>
      <c r="I32" s="1" t="s">
        <v>114</v>
      </c>
      <c r="J32" s="1" t="s">
        <v>30</v>
      </c>
      <c r="K32" s="1">
        <v>10</v>
      </c>
      <c r="L32" s="3" t="s">
        <v>323</v>
      </c>
      <c r="M32" s="1" t="s">
        <v>32</v>
      </c>
      <c r="N32" s="2">
        <v>1000000</v>
      </c>
      <c r="Q32" s="1" t="s">
        <v>324</v>
      </c>
      <c r="R32" s="1" t="s">
        <v>32</v>
      </c>
      <c r="S32" s="1" t="s">
        <v>32</v>
      </c>
      <c r="T32" s="1" t="s">
        <v>32</v>
      </c>
      <c r="U32" s="1" t="s">
        <v>32</v>
      </c>
      <c r="V32" s="1" t="s">
        <v>32</v>
      </c>
    </row>
    <row r="33" spans="1:22" ht="259.2" x14ac:dyDescent="0.3">
      <c r="A33" s="2">
        <v>660000</v>
      </c>
      <c r="B33" s="1">
        <v>1</v>
      </c>
      <c r="C33" s="1" t="s">
        <v>318</v>
      </c>
      <c r="D33" s="1" t="s">
        <v>325</v>
      </c>
      <c r="E33" s="3" t="s">
        <v>326</v>
      </c>
      <c r="F33" s="3" t="s">
        <v>327</v>
      </c>
      <c r="G33" s="3" t="s">
        <v>328</v>
      </c>
      <c r="H33" s="1" t="s">
        <v>329</v>
      </c>
      <c r="I33" s="1" t="s">
        <v>329</v>
      </c>
      <c r="J33" s="1" t="s">
        <v>42</v>
      </c>
      <c r="K33" s="1">
        <v>5</v>
      </c>
      <c r="L33" s="3" t="s">
        <v>330</v>
      </c>
      <c r="M33" s="1" t="s">
        <v>32</v>
      </c>
      <c r="N33" s="2">
        <v>500000</v>
      </c>
      <c r="Q33" s="1" t="s">
        <v>331</v>
      </c>
      <c r="R33" s="1" t="s">
        <v>32</v>
      </c>
      <c r="S33" s="1" t="s">
        <v>32</v>
      </c>
      <c r="T33" s="1" t="s">
        <v>32</v>
      </c>
      <c r="U33" s="1" t="s">
        <v>32</v>
      </c>
      <c r="V33" s="1" t="s">
        <v>32</v>
      </c>
    </row>
    <row r="34" spans="1:22" x14ac:dyDescent="0.3">
      <c r="K34" s="2">
        <f t="shared" ref="K34:U34" si="0">+AVERAGE(K2:K33)</f>
        <v>8.0625</v>
      </c>
      <c r="L34" s="5" t="e">
        <f t="shared" si="0"/>
        <v>#DIV/0!</v>
      </c>
      <c r="M34" s="2" t="e">
        <f t="shared" si="0"/>
        <v>#DIV/0!</v>
      </c>
      <c r="N34" s="2">
        <f t="shared" si="0"/>
        <v>715625</v>
      </c>
      <c r="O34" s="2" t="e">
        <f t="shared" si="0"/>
        <v>#DIV/0!</v>
      </c>
      <c r="P34" s="5" t="e">
        <f t="shared" si="0"/>
        <v>#DIV/0!</v>
      </c>
      <c r="Q34" s="2" t="e">
        <f t="shared" si="0"/>
        <v>#DIV/0!</v>
      </c>
      <c r="R34" s="2">
        <f t="shared" si="0"/>
        <v>535526.1333333333</v>
      </c>
      <c r="S34" s="2">
        <f t="shared" si="0"/>
        <v>633333.33333333337</v>
      </c>
      <c r="T34" s="2">
        <f t="shared" si="0"/>
        <v>750000</v>
      </c>
      <c r="U34" s="2">
        <f t="shared" si="0"/>
        <v>743333.33333333337</v>
      </c>
      <c r="V34" s="2">
        <f>+AVERAGE(V2:V33)</f>
        <v>933333.33333333337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validation_comparison_report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Meier</dc:creator>
  <cp:lastModifiedBy>Sebastian Meier</cp:lastModifiedBy>
  <dcterms:created xsi:type="dcterms:W3CDTF">2026-03-18T11:46:07Z</dcterms:created>
  <dcterms:modified xsi:type="dcterms:W3CDTF">2026-03-18T11:46:07Z</dcterms:modified>
</cp:coreProperties>
</file>